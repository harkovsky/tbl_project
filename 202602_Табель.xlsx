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Yandex.Disk\Rif\00_docs\02_Рабочие карточки\202602_Февраль\"/>
    </mc:Choice>
  </mc:AlternateContent>
  <xr:revisionPtr revIDLastSave="0" documentId="13_ncr:1_{754EDF7E-732B-4443-8A28-F908C1748D75}" xr6:coauthVersionLast="47" xr6:coauthVersionMax="47" xr10:uidLastSave="{00000000-0000-0000-0000-000000000000}"/>
  <bookViews>
    <workbookView xWindow="-120" yWindow="-120" windowWidth="29040" windowHeight="15990" tabRatio="855" xr2:uid="{00000000-000D-0000-FFFF-FFFF00000000}"/>
  </bookViews>
  <sheets>
    <sheet name="Main" sheetId="1" r:id="rId1"/>
    <sheet name="RSCH" sheetId="2" state="hidden" r:id="rId2"/>
    <sheet name="NOCH" sheetId="3" state="hidden" r:id="rId3"/>
    <sheet name="Горбуненко" sheetId="4" r:id="rId4"/>
    <sheet name="Дулов" sheetId="5" r:id="rId5"/>
    <sheet name="Карпенко" sheetId="6" r:id="rId6"/>
    <sheet name="Климов" sheetId="7" r:id="rId7"/>
    <sheet name="Колодный" sheetId="8" r:id="rId8"/>
    <sheet name="Котов" sheetId="9" r:id="rId9"/>
    <sheet name="Кривоконев" sheetId="10" r:id="rId10"/>
    <sheet name="Лахин В" sheetId="11" r:id="rId11"/>
    <sheet name="Лахин С" sheetId="12" r:id="rId12"/>
    <sheet name="Миньков" sheetId="13" r:id="rId13"/>
    <sheet name="Никонов" sheetId="14" r:id="rId14"/>
    <sheet name="Переверзев" sheetId="15" r:id="rId15"/>
    <sheet name="Рудиков" sheetId="16" r:id="rId16"/>
    <sheet name="Табалин" sheetId="17" r:id="rId17"/>
    <sheet name="Толстиков" sheetId="18" r:id="rId18"/>
    <sheet name="Федюшкин" sheetId="19" r:id="rId19"/>
    <sheet name="Надбавки Риф" sheetId="20" r:id="rId20"/>
    <sheet name="Надбавки Стимул" sheetId="21" r:id="rId21"/>
    <sheet name="Доплата Риф" sheetId="22" r:id="rId22"/>
    <sheet name="Доплата Стимул" sheetId="23" r:id="rId23"/>
    <sheet name="Отчет" sheetId="24" r:id="rId24"/>
    <sheet name="данные" sheetId="25" r:id="rId25"/>
  </sheets>
  <definedNames>
    <definedName name="mn">#REF!</definedName>
    <definedName name="Print_Area" localSheetId="2">NOCH!$A$1:$AU$46</definedName>
    <definedName name="Print_Area" localSheetId="1">RSCH!$A$1:$AU$46</definedName>
    <definedName name="Print_Area_0" localSheetId="4">Дулов!$A$1:$AZ$40</definedName>
    <definedName name="Print_Titles" localSheetId="3">Горбуненко!$7:$7</definedName>
    <definedName name="Print_Titles" localSheetId="4">Дулов!$7:$7</definedName>
    <definedName name="Print_Titles" localSheetId="5">Карпенко!$7:$7</definedName>
    <definedName name="Print_Titles" localSheetId="6">Климов!$7:$7</definedName>
    <definedName name="Print_Titles" localSheetId="7">Колодный!$7:$7</definedName>
    <definedName name="Print_Titles" localSheetId="8">Котов!$7:$7</definedName>
    <definedName name="Print_Titles" localSheetId="9">Кривоконев!$7:$7</definedName>
    <definedName name="Print_Titles" localSheetId="10">'Лахин В'!$7:$7</definedName>
    <definedName name="Print_Titles" localSheetId="11">'Лахин С'!$7:$7</definedName>
    <definedName name="Print_Titles" localSheetId="12">Миньков!$7:$7</definedName>
    <definedName name="Print_Titles" localSheetId="13">Никонов!$7:$7</definedName>
    <definedName name="Print_Titles" localSheetId="14">Переверзев!$7:$7</definedName>
    <definedName name="Print_Titles" localSheetId="15">Рудиков!$7:$7</definedName>
    <definedName name="Print_Titles" localSheetId="16">Табалин!$7:$7</definedName>
    <definedName name="Print_Titles" localSheetId="17">Толстиков!$7:$7</definedName>
    <definedName name="Print_Titles" localSheetId="18">Федюшкин!$7:$7</definedName>
    <definedName name="yr">#REF!</definedName>
    <definedName name="_xlnm.Print_Area" localSheetId="0">Main!$A$1:$AU$46</definedName>
    <definedName name="_xlnm.Print_Area" localSheetId="3">Горбуненко!$A$1:$AZ$21,Горбуненко!$A$22:$AZ$40</definedName>
    <definedName name="_xlnm.Print_Area" localSheetId="21">'Доплата Риф'!$A$1:$F$30</definedName>
    <definedName name="_xlnm.Print_Area" localSheetId="22">'Доплата Стимул'!$A$1:$F$20</definedName>
    <definedName name="_xlnm.Print_Area" localSheetId="4">Дулов!$A$1:$AZ$21,Дулов!$A$22:$AZ$40</definedName>
    <definedName name="_xlnm.Print_Area" localSheetId="5">Карпенко!$A$1:$AZ$21,Карпенко!$A$22:$AZ$40</definedName>
    <definedName name="_xlnm.Print_Area" localSheetId="6">Климов!$A$1:$AZ$21,Климов!$A$22:$AZ$40</definedName>
    <definedName name="_xlnm.Print_Area" localSheetId="7">Колодный!$A$1:$AZ$21,Колодный!$A$22:$AZ$40</definedName>
    <definedName name="_xlnm.Print_Area" localSheetId="8">Котов!$A$1:$AZ$21,Котов!$A$22:$AZ$40</definedName>
    <definedName name="_xlnm.Print_Area" localSheetId="9">Кривоконев!$A$1:$AZ$21,Кривоконев!$A$22:$AZ$39</definedName>
    <definedName name="_xlnm.Print_Area" localSheetId="10">'Лахин В'!$A$1:$AZ$21,'Лахин В'!$A$22:$AZ$40</definedName>
    <definedName name="_xlnm.Print_Area" localSheetId="11">'Лахин С'!$A$1:$AZ$21,'Лахин С'!$A$22:$AZ$40</definedName>
    <definedName name="_xlnm.Print_Area" localSheetId="12">Миньков!$A$1:$AZ$21,Миньков!$A$22:$AZ$40</definedName>
    <definedName name="_xlnm.Print_Area" localSheetId="19">'Надбавки Риф'!$A$1:$H$35</definedName>
    <definedName name="_xlnm.Print_Area" localSheetId="20">'Надбавки Стимул'!$A$1:$H$23</definedName>
    <definedName name="_xlnm.Print_Area" localSheetId="13">Никонов!$A$1:$AZ$21,Никонов!$A$22:$AZ$40</definedName>
    <definedName name="_xlnm.Print_Area" localSheetId="14">Переверзев!$A$1:$AZ$21,Переверзев!$A$22:$AZ$40</definedName>
    <definedName name="_xlnm.Print_Area" localSheetId="15">Рудиков!$A$1:$AZ$21,Рудиков!$A$22:$AZ$40</definedName>
    <definedName name="_xlnm.Print_Area" localSheetId="16">Табалин!$A$1:$AZ$21,Табалин!$A$22:$AZ$40</definedName>
    <definedName name="_xlnm.Print_Area" localSheetId="17">Толстиков!$A$1:$AZ$21,Толстиков!$A$22:$AZ$40</definedName>
    <definedName name="_xlnm.Print_Area" localSheetId="18">Федюшкин!$A$1:$AZ$21,Федюшкин!$A$22:$AZ$40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4" i="1" l="1"/>
  <c r="AR14" i="1"/>
  <c r="AS14" i="1"/>
  <c r="AK15" i="1"/>
  <c r="AP15" i="1"/>
  <c r="AR15" i="1"/>
  <c r="AS15" i="1"/>
  <c r="AQ15" i="1" s="1"/>
  <c r="AL16" i="1"/>
  <c r="AN16" i="1"/>
  <c r="AP16" i="1"/>
  <c r="AR16" i="1"/>
  <c r="AS16" i="1"/>
  <c r="AM17" i="1"/>
  <c r="AN17" i="1"/>
  <c r="AP17" i="1"/>
  <c r="AR17" i="1"/>
  <c r="AS17" i="1"/>
  <c r="AP18" i="1"/>
  <c r="AR18" i="1"/>
  <c r="AS18" i="1"/>
  <c r="AP19" i="1"/>
  <c r="AR19" i="1"/>
  <c r="AS19" i="1"/>
  <c r="AJ20" i="1"/>
  <c r="AK20" i="1"/>
  <c r="AN20" i="1"/>
  <c r="AP20" i="1"/>
  <c r="AR20" i="1"/>
  <c r="AS20" i="1"/>
  <c r="AP21" i="1"/>
  <c r="AR21" i="1"/>
  <c r="AS21" i="1"/>
  <c r="AQ21" i="1" s="1"/>
  <c r="AP22" i="1"/>
  <c r="AR22" i="1"/>
  <c r="AS22" i="1"/>
  <c r="AK23" i="1"/>
  <c r="AP23" i="1"/>
  <c r="AR23" i="1"/>
  <c r="AS23" i="1"/>
  <c r="AL24" i="1"/>
  <c r="AP24" i="1"/>
  <c r="AR24" i="1"/>
  <c r="AS24" i="1"/>
  <c r="AM25" i="1"/>
  <c r="AN25" i="1"/>
  <c r="AP25" i="1"/>
  <c r="AR25" i="1"/>
  <c r="AS25" i="1"/>
  <c r="AP26" i="1"/>
  <c r="AR26" i="1"/>
  <c r="AS26" i="1"/>
  <c r="AL27" i="1"/>
  <c r="AP27" i="1"/>
  <c r="AR27" i="1"/>
  <c r="AS27" i="1"/>
  <c r="AP28" i="1"/>
  <c r="AR28" i="1"/>
  <c r="AS28" i="1"/>
  <c r="AO29" i="1"/>
  <c r="AP29" i="1"/>
  <c r="AR29" i="1"/>
  <c r="AS29" i="1"/>
  <c r="AP30" i="1"/>
  <c r="AR30" i="1"/>
  <c r="AS30" i="1"/>
  <c r="AQ30" i="1" s="1"/>
  <c r="AK31" i="1"/>
  <c r="AP31" i="1"/>
  <c r="AR31" i="1"/>
  <c r="AS31" i="1"/>
  <c r="AP32" i="1"/>
  <c r="AR32" i="1"/>
  <c r="AS32" i="1"/>
  <c r="AR33" i="1"/>
  <c r="AS33" i="1"/>
  <c r="AT33" i="3" s="1"/>
  <c r="AT33" i="1" s="1"/>
  <c r="AR34" i="1"/>
  <c r="AS34" i="1"/>
  <c r="AQ34" i="1" s="1"/>
  <c r="AU34" i="1"/>
  <c r="AR35" i="1"/>
  <c r="AS35" i="1"/>
  <c r="AT35" i="3" s="1"/>
  <c r="AT35" i="1" s="1"/>
  <c r="AR36" i="1"/>
  <c r="AS36" i="1"/>
  <c r="AQ36" i="1" s="1"/>
  <c r="AU36" i="1"/>
  <c r="AR37" i="1"/>
  <c r="AS37" i="1"/>
  <c r="AT37" i="3" s="1"/>
  <c r="AT37" i="1" s="1"/>
  <c r="AR38" i="1"/>
  <c r="AS38" i="1"/>
  <c r="AQ38" i="1" s="1"/>
  <c r="AR39" i="1"/>
  <c r="AS39" i="1"/>
  <c r="AT39" i="3" s="1"/>
  <c r="AT39" i="1" s="1"/>
  <c r="AP13" i="1"/>
  <c r="AN14" i="2"/>
  <c r="AN14" i="1" s="1"/>
  <c r="AN15" i="2"/>
  <c r="AN15" i="1" s="1"/>
  <c r="AN16" i="2"/>
  <c r="AN17" i="2"/>
  <c r="AN18" i="2"/>
  <c r="AN18" i="1" s="1"/>
  <c r="AN19" i="2"/>
  <c r="AN19" i="1" s="1"/>
  <c r="AN20" i="2"/>
  <c r="AN21" i="2"/>
  <c r="AN21" i="1" s="1"/>
  <c r="AN22" i="2"/>
  <c r="AN22" i="1" s="1"/>
  <c r="AN23" i="2"/>
  <c r="AN23" i="1" s="1"/>
  <c r="AN24" i="2"/>
  <c r="AN24" i="1" s="1"/>
  <c r="AN25" i="2"/>
  <c r="AN26" i="2"/>
  <c r="AN26" i="1" s="1"/>
  <c r="AN27" i="2"/>
  <c r="AN27" i="1" s="1"/>
  <c r="AN28" i="2"/>
  <c r="AN28" i="1" s="1"/>
  <c r="AN29" i="2"/>
  <c r="AN29" i="1" s="1"/>
  <c r="AN30" i="2"/>
  <c r="AN30" i="1" s="1"/>
  <c r="AN31" i="2"/>
  <c r="AN31" i="1" s="1"/>
  <c r="AN32" i="2"/>
  <c r="AN32" i="1" s="1"/>
  <c r="AN33" i="2"/>
  <c r="AN33" i="1" s="1"/>
  <c r="AN34" i="2"/>
  <c r="AN34" i="1" s="1"/>
  <c r="AN35" i="2"/>
  <c r="AN35" i="1" s="1"/>
  <c r="AN36" i="2"/>
  <c r="AN36" i="1" s="1"/>
  <c r="AN37" i="2"/>
  <c r="AN37" i="1" s="1"/>
  <c r="AN38" i="2"/>
  <c r="AN38" i="1" s="1"/>
  <c r="AN39" i="2"/>
  <c r="AN39" i="1" s="1"/>
  <c r="AN13" i="2"/>
  <c r="AT34" i="3"/>
  <c r="AT34" i="1" s="1"/>
  <c r="AU34" i="3"/>
  <c r="AT36" i="3"/>
  <c r="AT36" i="1" s="1"/>
  <c r="AU36" i="3"/>
  <c r="AT38" i="3"/>
  <c r="AT38" i="1" s="1"/>
  <c r="AU38" i="3"/>
  <c r="AU38" i="1" s="1"/>
  <c r="A11" i="24"/>
  <c r="B10" i="23"/>
  <c r="B10" i="22"/>
  <c r="A12" i="21"/>
  <c r="E25" i="20"/>
  <c r="A13" i="20"/>
  <c r="AM37" i="19"/>
  <c r="AM36" i="19"/>
  <c r="E30" i="20" s="1"/>
  <c r="A3" i="19"/>
  <c r="AM37" i="18"/>
  <c r="AM36" i="18"/>
  <c r="E29" i="20" s="1"/>
  <c r="A3" i="18"/>
  <c r="AM37" i="17"/>
  <c r="AM36" i="17"/>
  <c r="E28" i="20" s="1"/>
  <c r="A3" i="17"/>
  <c r="AM37" i="16"/>
  <c r="AM36" i="16"/>
  <c r="E17" i="21" s="1"/>
  <c r="A3" i="16"/>
  <c r="AM37" i="15"/>
  <c r="AM36" i="15"/>
  <c r="E27" i="20" s="1"/>
  <c r="A3" i="15"/>
  <c r="AM37" i="14"/>
  <c r="AM36" i="14"/>
  <c r="E26" i="20" s="1"/>
  <c r="A3" i="14"/>
  <c r="AM37" i="13"/>
  <c r="AM36" i="13"/>
  <c r="A3" i="13"/>
  <c r="AM37" i="12"/>
  <c r="AM36" i="12"/>
  <c r="E24" i="20" s="1"/>
  <c r="A3" i="12"/>
  <c r="AM37" i="11"/>
  <c r="AM36" i="11"/>
  <c r="E23" i="20" s="1"/>
  <c r="A3" i="11"/>
  <c r="AM37" i="10"/>
  <c r="AM36" i="10"/>
  <c r="E22" i="20" s="1"/>
  <c r="A3" i="10"/>
  <c r="AM37" i="9"/>
  <c r="AM36" i="9"/>
  <c r="E21" i="20" s="1"/>
  <c r="A3" i="9"/>
  <c r="AM37" i="8"/>
  <c r="AM36" i="8"/>
  <c r="E20" i="20" s="1"/>
  <c r="A3" i="8"/>
  <c r="AM37" i="7"/>
  <c r="AM36" i="7"/>
  <c r="E16" i="21" s="1"/>
  <c r="A3" i="7"/>
  <c r="AM37" i="6"/>
  <c r="AM36" i="6"/>
  <c r="E19" i="20" s="1"/>
  <c r="A3" i="6"/>
  <c r="AM37" i="5"/>
  <c r="AM36" i="5"/>
  <c r="E18" i="20" s="1"/>
  <c r="A3" i="5"/>
  <c r="AM37" i="4"/>
  <c r="AM36" i="4"/>
  <c r="E17" i="20" s="1"/>
  <c r="A3" i="4"/>
  <c r="AH49" i="3"/>
  <c r="W49" i="3"/>
  <c r="V49" i="3"/>
  <c r="S49" i="3"/>
  <c r="R49" i="3"/>
  <c r="P49" i="3"/>
  <c r="M49" i="3"/>
  <c r="L49" i="3"/>
  <c r="J49" i="3"/>
  <c r="E49" i="3"/>
  <c r="AI43" i="3"/>
  <c r="AI49" i="3" s="1"/>
  <c r="AH43" i="3"/>
  <c r="AG43" i="3"/>
  <c r="AG49" i="3" s="1"/>
  <c r="AF43" i="3"/>
  <c r="AF49" i="3" s="1"/>
  <c r="AE43" i="3"/>
  <c r="AE49" i="3" s="1"/>
  <c r="AD43" i="3"/>
  <c r="AD49" i="3" s="1"/>
  <c r="AC43" i="3"/>
  <c r="AC49" i="3" s="1"/>
  <c r="AB43" i="3"/>
  <c r="AB49" i="3" s="1"/>
  <c r="AA43" i="3"/>
  <c r="AA49" i="3" s="1"/>
  <c r="Z43" i="3"/>
  <c r="Z49" i="3" s="1"/>
  <c r="Y43" i="3"/>
  <c r="Y49" i="3" s="1"/>
  <c r="X43" i="3"/>
  <c r="X49" i="3" s="1"/>
  <c r="W43" i="3"/>
  <c r="V43" i="3"/>
  <c r="U43" i="3"/>
  <c r="U49" i="3" s="1"/>
  <c r="T43" i="3"/>
  <c r="T49" i="3" s="1"/>
  <c r="S43" i="3"/>
  <c r="R43" i="3"/>
  <c r="Q43" i="3"/>
  <c r="Q49" i="3" s="1"/>
  <c r="P43" i="3"/>
  <c r="O43" i="3"/>
  <c r="O49" i="3" s="1"/>
  <c r="N43" i="3"/>
  <c r="N49" i="3" s="1"/>
  <c r="M43" i="3"/>
  <c r="L43" i="3"/>
  <c r="K43" i="3"/>
  <c r="K49" i="3" s="1"/>
  <c r="J43" i="3"/>
  <c r="I43" i="3"/>
  <c r="I49" i="3" s="1"/>
  <c r="H43" i="3"/>
  <c r="H49" i="3" s="1"/>
  <c r="G43" i="3"/>
  <c r="G49" i="3" s="1"/>
  <c r="F43" i="3"/>
  <c r="F49" i="3" s="1"/>
  <c r="AS41" i="3"/>
  <c r="AR40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AP30" i="3" s="1"/>
  <c r="E30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A7" i="3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AO13" i="2" s="1"/>
  <c r="AO13" i="1" s="1"/>
  <c r="R43" i="2"/>
  <c r="Q43" i="2"/>
  <c r="P43" i="2"/>
  <c r="O43" i="2"/>
  <c r="N43" i="2"/>
  <c r="AO29" i="2" s="1"/>
  <c r="M43" i="2"/>
  <c r="L43" i="2"/>
  <c r="K43" i="2"/>
  <c r="J43" i="2"/>
  <c r="I43" i="2"/>
  <c r="H43" i="2"/>
  <c r="G43" i="2"/>
  <c r="AO38" i="2" s="1"/>
  <c r="AO38" i="1" s="1"/>
  <c r="F43" i="2"/>
  <c r="AU41" i="2"/>
  <c r="AT40" i="2"/>
  <c r="AS39" i="2"/>
  <c r="AR39" i="2"/>
  <c r="AM39" i="2"/>
  <c r="AM39" i="1" s="1"/>
  <c r="AL39" i="2"/>
  <c r="AL39" i="1" s="1"/>
  <c r="AK39" i="2"/>
  <c r="AK39" i="1" s="1"/>
  <c r="AJ39" i="2"/>
  <c r="AJ39" i="1" s="1"/>
  <c r="AS38" i="2"/>
  <c r="AR38" i="2"/>
  <c r="AM38" i="2"/>
  <c r="AM38" i="1" s="1"/>
  <c r="AL38" i="2"/>
  <c r="AL38" i="1" s="1"/>
  <c r="AK38" i="2"/>
  <c r="AK38" i="1" s="1"/>
  <c r="AJ38" i="2"/>
  <c r="AJ38" i="1" s="1"/>
  <c r="AS37" i="2"/>
  <c r="AR37" i="2"/>
  <c r="AM37" i="2"/>
  <c r="AM37" i="1" s="1"/>
  <c r="AL37" i="2"/>
  <c r="AL37" i="1" s="1"/>
  <c r="AK37" i="2"/>
  <c r="AK37" i="1" s="1"/>
  <c r="AJ37" i="2"/>
  <c r="AJ37" i="1" s="1"/>
  <c r="AS36" i="2"/>
  <c r="AR36" i="2"/>
  <c r="AM36" i="2"/>
  <c r="AM36" i="1" s="1"/>
  <c r="AL36" i="2"/>
  <c r="AL36" i="1" s="1"/>
  <c r="AK36" i="2"/>
  <c r="AK36" i="1" s="1"/>
  <c r="AJ36" i="2"/>
  <c r="AJ36" i="1" s="1"/>
  <c r="AS35" i="2"/>
  <c r="AR35" i="2"/>
  <c r="AM35" i="2"/>
  <c r="AM35" i="1" s="1"/>
  <c r="AL35" i="2"/>
  <c r="AL35" i="1" s="1"/>
  <c r="AK35" i="2"/>
  <c r="AK35" i="1" s="1"/>
  <c r="AJ35" i="2"/>
  <c r="AJ35" i="1" s="1"/>
  <c r="AS34" i="2"/>
  <c r="AR34" i="2"/>
  <c r="AM34" i="2"/>
  <c r="AM34" i="1" s="1"/>
  <c r="AL34" i="2"/>
  <c r="AL34" i="1" s="1"/>
  <c r="AK34" i="2"/>
  <c r="AK34" i="1" s="1"/>
  <c r="AJ34" i="2"/>
  <c r="AJ34" i="1" s="1"/>
  <c r="AS33" i="2"/>
  <c r="AR33" i="2"/>
  <c r="AM33" i="2"/>
  <c r="AM33" i="1" s="1"/>
  <c r="AL33" i="2"/>
  <c r="AL33" i="1" s="1"/>
  <c r="AK33" i="2"/>
  <c r="AK33" i="1" s="1"/>
  <c r="AJ33" i="2"/>
  <c r="AJ33" i="1" s="1"/>
  <c r="AM32" i="2"/>
  <c r="AM32" i="1" s="1"/>
  <c r="AL32" i="2"/>
  <c r="AL32" i="1" s="1"/>
  <c r="AK32" i="2"/>
  <c r="AK32" i="1" s="1"/>
  <c r="AJ32" i="2"/>
  <c r="AJ32" i="1" s="1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M31" i="2"/>
  <c r="AM31" i="1" s="1"/>
  <c r="AL31" i="2"/>
  <c r="AL31" i="1" s="1"/>
  <c r="AK31" i="2"/>
  <c r="AJ31" i="2"/>
  <c r="AJ31" i="1" s="1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M30" i="2"/>
  <c r="AM30" i="1" s="1"/>
  <c r="AL30" i="2"/>
  <c r="AL30" i="1" s="1"/>
  <c r="AK30" i="2"/>
  <c r="AK30" i="1" s="1"/>
  <c r="AJ30" i="2"/>
  <c r="AJ30" i="1" s="1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M29" i="2"/>
  <c r="AM29" i="1" s="1"/>
  <c r="AL29" i="2"/>
  <c r="AL29" i="1" s="1"/>
  <c r="AK29" i="2"/>
  <c r="AK29" i="1" s="1"/>
  <c r="AJ29" i="2"/>
  <c r="AJ29" i="1" s="1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R29" i="2" s="1"/>
  <c r="AM28" i="2"/>
  <c r="AM28" i="1" s="1"/>
  <c r="AL28" i="2"/>
  <c r="AL28" i="1" s="1"/>
  <c r="AK28" i="2"/>
  <c r="AK28" i="1" s="1"/>
  <c r="AJ28" i="2"/>
  <c r="AJ28" i="1" s="1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M27" i="2"/>
  <c r="AM27" i="1" s="1"/>
  <c r="AL27" i="2"/>
  <c r="AK27" i="2"/>
  <c r="AK27" i="1" s="1"/>
  <c r="AJ27" i="2"/>
  <c r="AJ27" i="1" s="1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M26" i="2"/>
  <c r="AM26" i="1" s="1"/>
  <c r="AL26" i="2"/>
  <c r="AL26" i="1" s="1"/>
  <c r="AK26" i="2"/>
  <c r="AK26" i="1" s="1"/>
  <c r="AJ26" i="2"/>
  <c r="AJ26" i="1" s="1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M25" i="2"/>
  <c r="AL25" i="2"/>
  <c r="AL25" i="1" s="1"/>
  <c r="AK25" i="2"/>
  <c r="AK25" i="1" s="1"/>
  <c r="AJ25" i="2"/>
  <c r="AJ25" i="1" s="1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M24" i="2"/>
  <c r="AM24" i="1" s="1"/>
  <c r="AL24" i="2"/>
  <c r="AK24" i="2"/>
  <c r="AK24" i="1" s="1"/>
  <c r="AJ24" i="2"/>
  <c r="AJ24" i="1" s="1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M23" i="2"/>
  <c r="AM23" i="1" s="1"/>
  <c r="AL23" i="2"/>
  <c r="AL23" i="1" s="1"/>
  <c r="AK23" i="2"/>
  <c r="AJ23" i="2"/>
  <c r="AJ23" i="1" s="1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M22" i="2"/>
  <c r="AM22" i="1" s="1"/>
  <c r="AL22" i="2"/>
  <c r="AL22" i="1" s="1"/>
  <c r="AK22" i="2"/>
  <c r="AK22" i="1" s="1"/>
  <c r="AJ22" i="2"/>
  <c r="AJ22" i="1" s="1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M21" i="2"/>
  <c r="AM21" i="1" s="1"/>
  <c r="AL21" i="2"/>
  <c r="AL21" i="1" s="1"/>
  <c r="AK21" i="2"/>
  <c r="AK21" i="1" s="1"/>
  <c r="AJ21" i="2"/>
  <c r="AJ21" i="1" s="1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M20" i="2"/>
  <c r="AM20" i="1" s="1"/>
  <c r="AL20" i="2"/>
  <c r="AL20" i="1" s="1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M19" i="2"/>
  <c r="AM19" i="1" s="1"/>
  <c r="AL19" i="2"/>
  <c r="AL19" i="1" s="1"/>
  <c r="AK19" i="2"/>
  <c r="AK19" i="1" s="1"/>
  <c r="AJ19" i="2"/>
  <c r="AJ19" i="1" s="1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M18" i="2"/>
  <c r="AM18" i="1" s="1"/>
  <c r="AL18" i="2"/>
  <c r="AL18" i="1" s="1"/>
  <c r="AK18" i="2"/>
  <c r="AK18" i="1" s="1"/>
  <c r="AJ18" i="2"/>
  <c r="AJ18" i="1" s="1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M17" i="2"/>
  <c r="AL17" i="2"/>
  <c r="AL17" i="1" s="1"/>
  <c r="AK17" i="2"/>
  <c r="AK17" i="1" s="1"/>
  <c r="AJ17" i="2"/>
  <c r="AJ17" i="1" s="1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M16" i="2"/>
  <c r="AM16" i="1" s="1"/>
  <c r="AL16" i="2"/>
  <c r="AK16" i="2"/>
  <c r="AK16" i="1" s="1"/>
  <c r="AJ16" i="2"/>
  <c r="AJ16" i="1" s="1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O15" i="2"/>
  <c r="AO15" i="1" s="1"/>
  <c r="AM15" i="2"/>
  <c r="AM15" i="1" s="1"/>
  <c r="AL15" i="2"/>
  <c r="AL15" i="1" s="1"/>
  <c r="AK15" i="2"/>
  <c r="AJ15" i="2"/>
  <c r="AJ15" i="1" s="1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M14" i="2"/>
  <c r="AM14" i="1" s="1"/>
  <c r="AL14" i="2"/>
  <c r="AL14" i="1" s="1"/>
  <c r="AK14" i="2"/>
  <c r="AK14" i="1" s="1"/>
  <c r="AJ14" i="2"/>
  <c r="AJ14" i="1" s="1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N13" i="1"/>
  <c r="AM13" i="2"/>
  <c r="AM13" i="1" s="1"/>
  <c r="AL13" i="2"/>
  <c r="AL13" i="1" s="1"/>
  <c r="AK13" i="2"/>
  <c r="AK13" i="1" s="1"/>
  <c r="AJ13" i="2"/>
  <c r="AJ13" i="1" s="1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7" i="2"/>
  <c r="A7" i="1"/>
  <c r="AQ39" i="1" l="1"/>
  <c r="AQ37" i="1"/>
  <c r="AQ35" i="1"/>
  <c r="AQ33" i="1"/>
  <c r="AU37" i="3"/>
  <c r="AU37" i="1" s="1"/>
  <c r="AU35" i="3"/>
  <c r="AU35" i="1" s="1"/>
  <c r="AU33" i="3"/>
  <c r="AU33" i="1" s="1"/>
  <c r="AU39" i="3"/>
  <c r="AU39" i="1" s="1"/>
  <c r="AS24" i="2"/>
  <c r="AS28" i="2"/>
  <c r="AR32" i="2"/>
  <c r="AS30" i="2"/>
  <c r="AR24" i="2"/>
  <c r="AP33" i="3"/>
  <c r="AP33" i="1" s="1"/>
  <c r="AP37" i="3"/>
  <c r="AP37" i="1" s="1"/>
  <c r="AP38" i="3"/>
  <c r="AP38" i="1" s="1"/>
  <c r="AP34" i="3"/>
  <c r="AP34" i="1" s="1"/>
  <c r="AP35" i="3"/>
  <c r="AP35" i="1" s="1"/>
  <c r="AP39" i="3"/>
  <c r="AP39" i="1" s="1"/>
  <c r="AP36" i="3"/>
  <c r="AP36" i="1" s="1"/>
  <c r="AS32" i="2"/>
  <c r="AP32" i="3"/>
  <c r="AP31" i="3"/>
  <c r="AS31" i="2"/>
  <c r="AS29" i="2"/>
  <c r="AP29" i="3"/>
  <c r="AR28" i="2"/>
  <c r="AP28" i="3"/>
  <c r="AS27" i="2"/>
  <c r="AR27" i="2"/>
  <c r="AP27" i="3"/>
  <c r="AS26" i="2"/>
  <c r="AP26" i="3"/>
  <c r="AR25" i="2"/>
  <c r="AP25" i="3"/>
  <c r="AS25" i="2"/>
  <c r="AP24" i="3"/>
  <c r="AS23" i="2"/>
  <c r="AP23" i="3"/>
  <c r="AS22" i="2"/>
  <c r="AP22" i="3"/>
  <c r="AR21" i="2"/>
  <c r="AP21" i="3"/>
  <c r="AS21" i="2"/>
  <c r="AP20" i="3"/>
  <c r="AR20" i="2"/>
  <c r="AS20" i="2"/>
  <c r="AS19" i="2"/>
  <c r="AR19" i="2"/>
  <c r="AP19" i="3"/>
  <c r="AP18" i="3"/>
  <c r="AS18" i="2"/>
  <c r="AP17" i="3"/>
  <c r="AS17" i="2"/>
  <c r="AR17" i="2"/>
  <c r="AR16" i="2"/>
  <c r="AP16" i="3"/>
  <c r="AS16" i="2"/>
  <c r="AS15" i="2"/>
  <c r="AP15" i="3"/>
  <c r="AP14" i="3"/>
  <c r="AS14" i="2"/>
  <c r="AR13" i="2"/>
  <c r="AR13" i="1" s="1"/>
  <c r="AS13" i="2"/>
  <c r="AP13" i="3"/>
  <c r="J28" i="20"/>
  <c r="K28" i="20" s="1"/>
  <c r="J27" i="20"/>
  <c r="K27" i="20" s="1"/>
  <c r="J25" i="20"/>
  <c r="K25" i="20" s="1"/>
  <c r="AK49" i="3"/>
  <c r="AJ49" i="3"/>
  <c r="AO18" i="2"/>
  <c r="AO18" i="1" s="1"/>
  <c r="AO26" i="2"/>
  <c r="AO26" i="1" s="1"/>
  <c r="AR18" i="2"/>
  <c r="AR26" i="2"/>
  <c r="AO33" i="2"/>
  <c r="AO33" i="1" s="1"/>
  <c r="AO36" i="2"/>
  <c r="AO36" i="1" s="1"/>
  <c r="AO39" i="2"/>
  <c r="AO39" i="1" s="1"/>
  <c r="AO31" i="2"/>
  <c r="AO31" i="1" s="1"/>
  <c r="AR15" i="2"/>
  <c r="AR23" i="2"/>
  <c r="AR31" i="2"/>
  <c r="AO23" i="2"/>
  <c r="AO23" i="1" s="1"/>
  <c r="AO20" i="2"/>
  <c r="AO20" i="1" s="1"/>
  <c r="AO28" i="2"/>
  <c r="AO28" i="1" s="1"/>
  <c r="AO17" i="2"/>
  <c r="AO17" i="1" s="1"/>
  <c r="AO25" i="2"/>
  <c r="AO25" i="1" s="1"/>
  <c r="AO34" i="2"/>
  <c r="AO34" i="1" s="1"/>
  <c r="AO37" i="2"/>
  <c r="AO37" i="1" s="1"/>
  <c r="AO14" i="2"/>
  <c r="AO14" i="1" s="1"/>
  <c r="AO22" i="2"/>
  <c r="AO22" i="1" s="1"/>
  <c r="AO30" i="2"/>
  <c r="AO30" i="1" s="1"/>
  <c r="AR14" i="2"/>
  <c r="AR22" i="2"/>
  <c r="AR30" i="2"/>
  <c r="AO19" i="2"/>
  <c r="AO19" i="1" s="1"/>
  <c r="AO27" i="2"/>
  <c r="AO27" i="1" s="1"/>
  <c r="AO16" i="2"/>
  <c r="AO16" i="1" s="1"/>
  <c r="AO24" i="2"/>
  <c r="AO24" i="1" s="1"/>
  <c r="AO32" i="2"/>
  <c r="AO32" i="1" s="1"/>
  <c r="AO35" i="2"/>
  <c r="AO35" i="1" s="1"/>
  <c r="AO21" i="2"/>
  <c r="AO21" i="1" s="1"/>
  <c r="AT27" i="3" l="1"/>
  <c r="AT27" i="1" s="1"/>
  <c r="AU27" i="3"/>
  <c r="AU27" i="1" s="1"/>
  <c r="AQ27" i="1" s="1"/>
  <c r="AT18" i="3"/>
  <c r="AT18" i="1" s="1"/>
  <c r="AU18" i="3"/>
  <c r="AU18" i="1" s="1"/>
  <c r="AQ18" i="1" s="1"/>
  <c r="AT29" i="3"/>
  <c r="AT29" i="1" s="1"/>
  <c r="AU29" i="3"/>
  <c r="AU29" i="1" s="1"/>
  <c r="AQ29" i="1" s="1"/>
  <c r="J16" i="21"/>
  <c r="K16" i="21" s="1"/>
  <c r="AT31" i="3"/>
  <c r="AT31" i="1" s="1"/>
  <c r="AU31" i="3"/>
  <c r="AU31" i="1" s="1"/>
  <c r="AQ31" i="1" s="1"/>
  <c r="AT26" i="3"/>
  <c r="AT26" i="1" s="1"/>
  <c r="AU26" i="3"/>
  <c r="AU26" i="1" s="1"/>
  <c r="AQ26" i="1" s="1"/>
  <c r="J24" i="20"/>
  <c r="K24" i="20" s="1"/>
  <c r="AT20" i="3"/>
  <c r="AT20" i="1" s="1"/>
  <c r="AU20" i="3"/>
  <c r="AU20" i="1" s="1"/>
  <c r="AQ20" i="1" s="1"/>
  <c r="AT32" i="3"/>
  <c r="AT32" i="1" s="1"/>
  <c r="AU32" i="3"/>
  <c r="AU32" i="1" s="1"/>
  <c r="AQ32" i="1" s="1"/>
  <c r="AT17" i="3"/>
  <c r="AT17" i="1" s="1"/>
  <c r="AU17" i="3"/>
  <c r="AU17" i="1" s="1"/>
  <c r="AQ17" i="1" s="1"/>
  <c r="AT21" i="3"/>
  <c r="AT21" i="1" s="1"/>
  <c r="AU21" i="3"/>
  <c r="AU21" i="1" s="1"/>
  <c r="AT19" i="3"/>
  <c r="AT19" i="1" s="1"/>
  <c r="AU19" i="3"/>
  <c r="AU19" i="1" s="1"/>
  <c r="AQ19" i="1" s="1"/>
  <c r="J30" i="20"/>
  <c r="K30" i="20" s="1"/>
  <c r="J17" i="21"/>
  <c r="K17" i="21" s="1"/>
  <c r="J21" i="20"/>
  <c r="K21" i="20" s="1"/>
  <c r="AT22" i="3"/>
  <c r="AT22" i="1" s="1"/>
  <c r="AU22" i="3"/>
  <c r="AU22" i="1" s="1"/>
  <c r="AQ22" i="1" s="1"/>
  <c r="AT14" i="3"/>
  <c r="AT14" i="1" s="1"/>
  <c r="AU14" i="3"/>
  <c r="AU14" i="1" s="1"/>
  <c r="AQ14" i="1" s="1"/>
  <c r="AT23" i="3"/>
  <c r="AT23" i="1" s="1"/>
  <c r="AU23" i="3"/>
  <c r="AU23" i="1" s="1"/>
  <c r="AQ23" i="1" s="1"/>
  <c r="AT25" i="3"/>
  <c r="AT25" i="1" s="1"/>
  <c r="AU25" i="3"/>
  <c r="AU25" i="1" s="1"/>
  <c r="AQ25" i="1" s="1"/>
  <c r="AT30" i="3"/>
  <c r="AT30" i="1" s="1"/>
  <c r="AU30" i="3"/>
  <c r="AU30" i="1" s="1"/>
  <c r="J19" i="20"/>
  <c r="K19" i="20" s="1"/>
  <c r="AT15" i="3"/>
  <c r="AT15" i="1" s="1"/>
  <c r="AU15" i="3"/>
  <c r="AU15" i="1" s="1"/>
  <c r="AT28" i="3"/>
  <c r="AT28" i="1" s="1"/>
  <c r="AU28" i="3"/>
  <c r="AU28" i="1" s="1"/>
  <c r="AQ28" i="1" s="1"/>
  <c r="AT24" i="3"/>
  <c r="AT24" i="1" s="1"/>
  <c r="AU24" i="3"/>
  <c r="AU24" i="1" s="1"/>
  <c r="AQ24" i="1" s="1"/>
  <c r="AT16" i="3"/>
  <c r="AT16" i="1" s="1"/>
  <c r="AU16" i="3"/>
  <c r="AU16" i="1" s="1"/>
  <c r="AQ16" i="1" s="1"/>
  <c r="J29" i="20"/>
  <c r="K29" i="20" s="1"/>
  <c r="J26" i="20"/>
  <c r="K26" i="20" s="1"/>
  <c r="J23" i="20"/>
  <c r="K23" i="20" s="1"/>
  <c r="J22" i="20"/>
  <c r="K22" i="20" s="1"/>
  <c r="J20" i="20"/>
  <c r="K20" i="20" s="1"/>
  <c r="J18" i="20"/>
  <c r="K18" i="20" s="1"/>
  <c r="AS41" i="2"/>
  <c r="AS13" i="1"/>
  <c r="J17" i="20" s="1"/>
  <c r="K17" i="20" s="1"/>
  <c r="AR40" i="1"/>
  <c r="AR40" i="2"/>
  <c r="AS41" i="1" l="1"/>
  <c r="AU13" i="3"/>
  <c r="AU13" i="1" s="1"/>
  <c r="AT13" i="3"/>
  <c r="AT13" i="1" s="1"/>
  <c r="AT40" i="1" s="1"/>
  <c r="AT40" i="3" l="1"/>
  <c r="AU41" i="3"/>
  <c r="AU41" i="1"/>
  <c r="AQ13" i="1"/>
</calcChain>
</file>

<file path=xl/sharedStrings.xml><?xml version="1.0" encoding="utf-8"?>
<sst xmlns="http://schemas.openxmlformats.org/spreadsheetml/2006/main" count="1169" uniqueCount="242">
  <si>
    <t>АО Риф, ООО Стимул</t>
  </si>
  <si>
    <t>Унифицированная форма №  Т-13</t>
  </si>
  <si>
    <t>наименование организации</t>
  </si>
  <si>
    <t>Утверждена постановлением Госкомстата РФ</t>
  </si>
  <si>
    <t>ПК №250</t>
  </si>
  <si>
    <t>Принятые</t>
  </si>
  <si>
    <t>от 5 января 2004 г. N 1</t>
  </si>
  <si>
    <t>наименование структурного подразделения</t>
  </si>
  <si>
    <t>ТАБЕЛЬ</t>
  </si>
  <si>
    <t>учета использования рабочего времени</t>
  </si>
  <si>
    <t>№ п/п</t>
  </si>
  <si>
    <t>Табельный номер</t>
  </si>
  <si>
    <t>Фамилия,  инициалы, должность (специальность, профессия)</t>
  </si>
  <si>
    <t>Профессия</t>
  </si>
  <si>
    <t>Отметки о явках и неявках на работу по числам месяца</t>
  </si>
  <si>
    <t>Отработано за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</si>
  <si>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</si>
  <si>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</si>
  <si>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</si>
  <si>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</si>
  <si>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</si>
  <si>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</si>
  <si>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</si>
  <si>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</si>
  <si>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</si>
  <si>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</si>
  <si>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</si>
  <si>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</si>
  <si>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</si>
  <si>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</si>
  <si>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</si>
  <si>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</si>
  <si>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</si>
  <si>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</si>
  <si>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</si>
  <si>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</si>
  <si>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</si>
  <si>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</si>
  <si>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</si>
  <si>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</si>
  <si>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</si>
  <si>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</si>
  <si>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</si>
  <si>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</si>
  <si>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</si>
  <si>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</si>
  <si>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</si>
  <si>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Месяц</t>
  </si>
  <si>
    <t>Отработано</t>
  </si>
  <si>
    <t>Всего</t>
  </si>
  <si>
    <t>командиров.</t>
  </si>
  <si>
    <t>прогул</t>
  </si>
  <si>
    <t>боль-нич-
ный</t>
  </si>
  <si>
    <t>отпуск</t>
  </si>
  <si>
    <t>адм.
отп</t>
  </si>
  <si>
    <t>празд вы-
ходн</t>
  </si>
  <si>
    <t>ночн.</t>
  </si>
  <si>
    <t>пере-работ-
ка</t>
  </si>
  <si>
    <t>дней</t>
  </si>
  <si>
    <t>часов</t>
  </si>
  <si>
    <t>АО Риф</t>
  </si>
  <si>
    <t>Горбуненко Ф.Ф.</t>
  </si>
  <si>
    <t>слес-рем</t>
  </si>
  <si>
    <t>Дулов С.Д.</t>
  </si>
  <si>
    <t>Карпенко А.Г.</t>
  </si>
  <si>
    <t>Колодный С.С.</t>
  </si>
  <si>
    <t>эл/мех</t>
  </si>
  <si>
    <t>Котов О.А.</t>
  </si>
  <si>
    <t>Кривоконев В.И.</t>
  </si>
  <si>
    <t>Лахин В.В.</t>
  </si>
  <si>
    <t>Лахин С.Н.</t>
  </si>
  <si>
    <t>Миньков А.А.</t>
  </si>
  <si>
    <t>Никонов Н.А.</t>
  </si>
  <si>
    <t>Переверзев А.М.</t>
  </si>
  <si>
    <t>Табалин П.А.</t>
  </si>
  <si>
    <t>Толстиков А.В.</t>
  </si>
  <si>
    <t>Федюшкин А.А.</t>
  </si>
  <si>
    <t>Харьковский М.В.</t>
  </si>
  <si>
    <t>гл.мех</t>
  </si>
  <si>
    <t>Якушев И.А.</t>
  </si>
  <si>
    <t>механик</t>
  </si>
  <si>
    <t>Столповский А.В.</t>
  </si>
  <si>
    <t>ООО Стимул</t>
  </si>
  <si>
    <t>Климов Е.Н.</t>
  </si>
  <si>
    <t>Рудиков Д.А.</t>
  </si>
  <si>
    <t>ВС</t>
  </si>
  <si>
    <t>ПН</t>
  </si>
  <si>
    <t>ВТ</t>
  </si>
  <si>
    <t>СР</t>
  </si>
  <si>
    <t>ЧТ</t>
  </si>
  <si>
    <t>ПТ</t>
  </si>
  <si>
    <t>СБ</t>
  </si>
  <si>
    <t>Итого дней</t>
  </si>
  <si>
    <t>Ответственное лицо</t>
  </si>
  <si>
    <t>Итого часов</t>
  </si>
  <si>
    <t>должность</t>
  </si>
  <si>
    <t xml:space="preserve"> подпись</t>
  </si>
  <si>
    <t xml:space="preserve">  расшифровка подписи</t>
  </si>
  <si>
    <t>Настройка месяца</t>
  </si>
  <si>
    <t>В</t>
  </si>
  <si>
    <t>Р</t>
  </si>
  <si>
    <t>Р*</t>
  </si>
  <si>
    <t>х</t>
  </si>
  <si>
    <t>8Н</t>
  </si>
  <si>
    <t>О</t>
  </si>
  <si>
    <t>Б</t>
  </si>
  <si>
    <t>А</t>
  </si>
  <si>
    <t>К</t>
  </si>
  <si>
    <t>П</t>
  </si>
  <si>
    <t>АО</t>
  </si>
  <si>
    <t>11Н</t>
  </si>
  <si>
    <t>7Н</t>
  </si>
  <si>
    <t>4Н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</si>
  <si>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</si>
  <si>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</si>
  <si>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</si>
  <si>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</si>
  <si>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</si>
  <si>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</si>
  <si>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</si>
  <si>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</si>
  <si>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</si>
  <si>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</si>
  <si>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</si>
  <si>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</si>
  <si>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Значения</t>
  </si>
  <si>
    <t>Часов</t>
  </si>
  <si>
    <t>Ночные</t>
  </si>
  <si>
    <t>АО "Риф"</t>
  </si>
  <si>
    <t>Утверждаю</t>
  </si>
  <si>
    <t>ПТК №250 таб№ 83727</t>
  </si>
  <si>
    <t>Зам.ген.директора - начальник ПТК №250
                                            Марар С.А.</t>
  </si>
  <si>
    <t>фамилия</t>
  </si>
  <si>
    <t>специальность</t>
  </si>
  <si>
    <t>слесарь - ремонтник</t>
  </si>
  <si>
    <t>Дата</t>
  </si>
  <si>
    <t>Описание работ</t>
  </si>
  <si>
    <t>Отработано
часов</t>
  </si>
  <si>
    <t>Сумма</t>
  </si>
  <si>
    <t>02.02.2026</t>
  </si>
  <si>
    <t>Такелажные работы</t>
  </si>
  <si>
    <t>03.02.2026</t>
  </si>
  <si>
    <t>ТО Оборудования</t>
  </si>
  <si>
    <t>04.02.2026</t>
  </si>
  <si>
    <t>БС</t>
  </si>
  <si>
    <t>05.02.2026</t>
  </si>
  <si>
    <t>06.02.2026</t>
  </si>
  <si>
    <t>07.02.2026</t>
  </si>
  <si>
    <t>Дежурство по заводу</t>
  </si>
  <si>
    <t>Выходной</t>
  </si>
  <si>
    <t>08.02.2026</t>
  </si>
  <si>
    <t>Всего отработано</t>
  </si>
  <si>
    <t>из них в выходные дни</t>
  </si>
  <si>
    <t>ночные часы</t>
  </si>
  <si>
    <t>Гл.механик ПТК №250                                 Харьковский М.В.</t>
  </si>
  <si>
    <t>ПТК №250 таб№ 89046</t>
  </si>
  <si>
    <t>ТО ГАР</t>
  </si>
  <si>
    <t>ПТК №250 таб№ 31205</t>
  </si>
  <si>
    <t>Очередной отпуск</t>
  </si>
  <si>
    <t>ООО "Стимул"</t>
  </si>
  <si>
    <t>ПТК №250 таб№ 39962</t>
  </si>
  <si>
    <t>ЭЛЕКТРОМЕХАНИК</t>
  </si>
  <si>
    <t>ТО оборудования</t>
  </si>
  <si>
    <t>Ремонт печи на пропитке</t>
  </si>
  <si>
    <t>ПТК №250 таб№ 83448</t>
  </si>
  <si>
    <t>01.02.2026</t>
  </si>
  <si>
    <t>Сборка САК</t>
  </si>
  <si>
    <t>ПТК №250 таб№21782</t>
  </si>
  <si>
    <t>ТО ГПМ</t>
  </si>
  <si>
    <t>Ремонт ГПМ</t>
  </si>
  <si>
    <t>ПТК №250 таб№ 90072</t>
  </si>
  <si>
    <t>ПТК №250 таб№ 27693</t>
  </si>
  <si>
    <t>Ремонт QMC-600</t>
  </si>
  <si>
    <t>ПТК №250 таб№ 12377</t>
  </si>
  <si>
    <t>ПТК №250 таб№ 63558</t>
  </si>
  <si>
    <t>ПТК №250 таб№ 31178</t>
  </si>
  <si>
    <t>уч.слесаря - ремонтника</t>
  </si>
  <si>
    <t>Ремонт пилы ц.8</t>
  </si>
  <si>
    <t xml:space="preserve">ТО оборудования </t>
  </si>
  <si>
    <t>ПТК №250 таб№21116</t>
  </si>
  <si>
    <t xml:space="preserve"> </t>
  </si>
  <si>
    <t>ПТК №250 таб№ 85743</t>
  </si>
  <si>
    <t>Отработано
Часов</t>
  </si>
  <si>
    <t>Ремонт TLV-1166</t>
  </si>
  <si>
    <t>ПТК №250 таб№ 66051</t>
  </si>
  <si>
    <t>ПТК №250 таб№ 16265</t>
  </si>
  <si>
    <t>слесарь-ремонтник</t>
  </si>
  <si>
    <t>ПТК №250 таб№ 83322</t>
  </si>
  <si>
    <t>ЭЛЕКТРОМЕХАНИК ПО СРЕДСТВАМ АВТОМАТИКИ И ПРИБОРАМ ТЕХНОЛОГИЧЕСКОГО ОБОРУДОВАНИЯ</t>
  </si>
  <si>
    <t>УТВЕРЖДАЮ</t>
  </si>
  <si>
    <t>Генеральный директор</t>
  </si>
  <si>
    <t>____________ А. С. Иванов</t>
  </si>
  <si>
    <t>"___" ___________ 2026 г.</t>
  </si>
  <si>
    <t>Служебная записка</t>
  </si>
  <si>
    <t>Прошу Вас утвердить надбавки к заработной плате</t>
  </si>
  <si>
    <t>№</t>
  </si>
  <si>
    <t>Ф.И.О.</t>
  </si>
  <si>
    <t>Таб.
номер</t>
  </si>
  <si>
    <t>Отраб.
время</t>
  </si>
  <si>
    <t>Оклад</t>
  </si>
  <si>
    <t>Премия</t>
  </si>
  <si>
    <t>%
надбавки</t>
  </si>
  <si>
    <t>По
табелю</t>
  </si>
  <si>
    <t>Разница</t>
  </si>
  <si>
    <t>Заместитель генерального директора
– начальник ПТК №250</t>
  </si>
  <si>
    <t>С.А. Марар</t>
  </si>
  <si>
    <t xml:space="preserve">Главный механик </t>
  </si>
  <si>
    <t>М.В.Харьковский</t>
  </si>
  <si>
    <t>"___" ______________ 2026 г.</t>
  </si>
  <si>
    <t>Доплата</t>
  </si>
  <si>
    <t>за такелажные работы ОГМ ПТК№250</t>
  </si>
  <si>
    <t>Премия, руб.</t>
  </si>
  <si>
    <t>Слесарь - ремонтник</t>
  </si>
  <si>
    <t>Уч.слесаря-ремонтника</t>
  </si>
  <si>
    <t>Итого</t>
  </si>
  <si>
    <t>Заместитель генерального директора – начальник ПТК №250</t>
  </si>
  <si>
    <t>Марар С.А.</t>
  </si>
  <si>
    <t>Главный механик
ПТК №250</t>
  </si>
  <si>
    <t>Согласовано ОТиЗ</t>
  </si>
  <si>
    <t>Абакумова Н.А.</t>
  </si>
  <si>
    <t>Заместитель генерального директора</t>
  </si>
  <si>
    <t>- начальник ПТК №250</t>
  </si>
  <si>
    <t>____________ С.А. Марар</t>
  </si>
  <si>
    <t>"___" ___________ 2025 г.</t>
  </si>
  <si>
    <t>ОТЧЕТ работ</t>
  </si>
  <si>
    <t>по участку главного механика</t>
  </si>
  <si>
    <t>Участок</t>
  </si>
  <si>
    <t>Подпись
руководителя</t>
  </si>
  <si>
    <t>Замечания</t>
  </si>
  <si>
    <t>Участок мех.обработки деталей</t>
  </si>
  <si>
    <t>_______________________________</t>
  </si>
  <si>
    <t>Участок Ж/Д тематики</t>
  </si>
  <si>
    <t>Участок штамповки и прессования</t>
  </si>
  <si>
    <t>Заготовительный участок</t>
  </si>
  <si>
    <t>Главный механик 
ПТК№250</t>
  </si>
  <si>
    <t xml:space="preserve"> 2026 года.</t>
  </si>
  <si>
    <t>Рабочий</t>
  </si>
  <si>
    <t>ППР Лазера</t>
  </si>
  <si>
    <t xml:space="preserve">Ремонт Hizion                               </t>
  </si>
  <si>
    <t>Ремонт ГАР</t>
  </si>
  <si>
    <t>Ремонт Hizion</t>
  </si>
  <si>
    <t>Ремонт Micromatic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</si>
</sst>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_-* #,##0.00\ [$₽-419]_-;\-* #,##0.00\ [$₽-419]_-;_-* &quot;-&quot;??\ [$₽-419]_-;_-@_-"/>
  </numFmts>
  <fonts count="33" x14ac:knownFonts="1">
    <font>
      <sz val="10"/>
      <color theme="1"/>
      <name val="Arial"/>
    </font>
    <font>
      <sz val="9"/>
      <color theme="1"/>
      <name val="Calibri"/>
    </font>
    <font>
      <sz val="9"/>
      <name val="Calibri"/>
    </font>
    <font>
      <b/>
      <sz val="9"/>
      <name val="Calibri"/>
    </font>
    <font>
      <sz val="8"/>
      <name val="Calibri"/>
    </font>
    <font>
      <sz val="8"/>
      <color indexed="65"/>
      <name val="Calibri"/>
    </font>
    <font>
      <b/>
      <sz val="9"/>
      <color rgb="FFC9211E"/>
      <name val="Calibri"/>
    </font>
    <font>
      <sz val="9"/>
      <color rgb="FF663300"/>
      <name val="Calibri"/>
    </font>
    <font>
      <sz val="10"/>
      <name val="Calibri"/>
    </font>
    <font>
      <b/>
      <sz val="16"/>
      <name val="Calibri"/>
    </font>
    <font>
      <b/>
      <i/>
      <sz val="14"/>
      <name val="Calibri"/>
    </font>
    <font>
      <b/>
      <i/>
      <sz val="12"/>
      <name val="Calibri"/>
    </font>
    <font>
      <b/>
      <sz val="10"/>
      <name val="Calibri"/>
    </font>
    <font>
      <i/>
      <sz val="8"/>
      <name val="Calibri"/>
    </font>
    <font>
      <i/>
      <sz val="10"/>
      <name val="Calibri"/>
    </font>
    <font>
      <i/>
      <sz val="10"/>
      <color indexed="18"/>
      <name val="Calibri"/>
    </font>
    <font>
      <sz val="10"/>
      <color indexed="2"/>
      <name val="Calibri"/>
    </font>
    <font>
      <b/>
      <i/>
      <sz val="10"/>
      <color indexed="18"/>
      <name val="Calibri"/>
    </font>
    <font>
      <b/>
      <i/>
      <sz val="10"/>
      <name val="Calibri"/>
    </font>
    <font>
      <b/>
      <i/>
      <sz val="6"/>
      <name val="Calibri"/>
    </font>
    <font>
      <b/>
      <i/>
      <sz val="11"/>
      <name val="Calibri"/>
    </font>
    <font>
      <b/>
      <sz val="10"/>
      <color theme="1"/>
      <name val="Arial"/>
    </font>
    <font>
      <b/>
      <sz val="10"/>
      <name val="Arial"/>
    </font>
    <font>
      <sz val="10"/>
      <name val="Arial"/>
    </font>
    <font>
      <b/>
      <sz val="12"/>
      <color theme="1"/>
      <name val="Calibri"/>
    </font>
    <font>
      <sz val="12"/>
      <color theme="1"/>
      <name val="Calibri"/>
    </font>
    <font>
      <sz val="12"/>
      <name val="Calibri"/>
    </font>
    <font>
      <b/>
      <sz val="12"/>
      <name val="Calibri"/>
    </font>
    <font>
      <sz val="9"/>
      <color theme="1"/>
      <name val="Arial"/>
    </font>
    <font>
      <b/>
      <sz val="40"/>
      <name val="Arial"/>
    </font>
    <font>
      <sz val="10"/>
      <color theme="1"/>
      <name val="Arial"/>
    </font>
    <font>
      <b/>
      <sz val="9"/>
      <color theme="3" tint="-0.249977111117893"/>
      <name val="Calibri"/>
      <family val="2"/>
      <charset val="204"/>
    </font>
    <font>
      <sz val="10"/>
      <color theme="3" tint="-0.249977111117893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D320"/>
        <bgColor indexed="5"/>
      </patternFill>
    </fill>
    <fill>
      <patternFill patternType="solid">
        <fgColor rgb="FF23FF23"/>
        <bgColor indexed="49"/>
      </patternFill>
    </fill>
    <fill>
      <patternFill patternType="solid">
        <fgColor rgb="FFE6E6FF"/>
        <bgColor rgb="FFFDEADA"/>
      </patternFill>
    </fill>
    <fill>
      <patternFill patternType="solid">
        <fgColor rgb="FFBCE6FF"/>
        <bgColor rgb="FFBCE6FF"/>
      </patternFill>
    </fill>
    <fill>
      <patternFill patternType="solid">
        <fgColor indexed="65"/>
        <bgColor rgb="FFFDEADA"/>
      </patternFill>
    </fill>
    <fill>
      <patternFill patternType="solid">
        <fgColor rgb="FFBCFFF6"/>
        <bgColor indexed="42"/>
      </patternFill>
    </fill>
    <fill>
      <patternFill patternType="solid">
        <fgColor rgb="FFBCE6FF"/>
        <bgColor rgb="FFBCFFF6"/>
      </patternFill>
    </fill>
    <fill>
      <patternFill patternType="solid">
        <fgColor indexed="5"/>
        <bgColor indexed="5"/>
      </patternFill>
    </fill>
    <fill>
      <patternFill patternType="solid">
        <fgColor indexed="26"/>
        <bgColor indexed="26"/>
      </patternFill>
    </fill>
    <fill>
      <patternFill patternType="solid">
        <fgColor rgb="FFFFD320"/>
        <bgColor rgb="FFFFC000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0" fontId="30" fillId="0" borderId="0"/>
    <xf numFmtId="0" fontId="30" fillId="0" borderId="0"/>
    <xf numFmtId="0" fontId="30" fillId="0" borderId="0"/>
  </cellStyleXfs>
  <cellXfs count="13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0" fillId="0" borderId="2" xfId="0" applyBorder="1"/>
    <xf numFmtId="0" fontId="2" fillId="0" borderId="1" xfId="0" applyFont="1" applyBorder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4" xfId="0" applyBorder="1"/>
    <xf numFmtId="1" fontId="2" fillId="0" borderId="0" xfId="0" applyNumberFormat="1" applyFont="1"/>
    <xf numFmtId="0" fontId="4" fillId="4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7" xfId="0" applyBorder="1"/>
    <xf numFmtId="49" fontId="4" fillId="4" borderId="3" xfId="0" applyNumberFormat="1" applyFont="1" applyFill="1" applyBorder="1" applyAlignment="1">
      <alignment horizontal="center" vertical="top" wrapText="1"/>
    </xf>
    <xf numFmtId="49" fontId="5" fillId="4" borderId="3" xfId="0" applyNumberFormat="1" applyFont="1" applyFill="1" applyBorder="1" applyAlignment="1">
      <alignment horizontal="center" vertical="top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2" fillId="0" borderId="3" xfId="0" applyFont="1" applyBorder="1" applyAlignment="1">
      <alignment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 shrinkToFi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 shrinkToFit="1"/>
    </xf>
    <xf numFmtId="0" fontId="2" fillId="0" borderId="9" xfId="0" applyFont="1" applyBorder="1" applyAlignment="1">
      <alignment horizontal="left" vertical="center" shrinkToFit="1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center" shrinkToFit="1"/>
    </xf>
    <xf numFmtId="1" fontId="3" fillId="0" borderId="0" xfId="0" applyNumberFormat="1" applyFont="1" applyAlignment="1">
      <alignment horizontal="center" vertical="center" shrinkToFit="1"/>
    </xf>
    <xf numFmtId="1" fontId="3" fillId="0" borderId="0" xfId="0" applyNumberFormat="1" applyFont="1" applyAlignment="1">
      <alignment horizontal="center" vertical="center" wrapText="1" shrinkToFit="1"/>
    </xf>
    <xf numFmtId="0" fontId="2" fillId="5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 shrinkToFit="1"/>
    </xf>
    <xf numFmtId="0" fontId="3" fillId="0" borderId="9" xfId="0" applyFont="1" applyBorder="1" applyAlignment="1">
      <alignment horizontal="center"/>
    </xf>
    <xf numFmtId="0" fontId="8" fillId="0" borderId="0" xfId="0" applyFont="1"/>
    <xf numFmtId="0" fontId="16" fillId="0" borderId="0" xfId="0" applyFont="1"/>
    <xf numFmtId="0" fontId="16" fillId="0" borderId="18" xfId="0" applyFont="1" applyBorder="1"/>
    <xf numFmtId="0" fontId="21" fillId="0" borderId="0" xfId="0" applyFont="1"/>
    <xf numFmtId="0" fontId="0" fillId="0" borderId="0" xfId="0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 wrapText="1"/>
    </xf>
    <xf numFmtId="0" fontId="0" fillId="0" borderId="3" xfId="0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5" fillId="0" borderId="0" xfId="0" applyFont="1"/>
    <xf numFmtId="0" fontId="24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 wrapText="1"/>
    </xf>
    <xf numFmtId="0" fontId="25" fillId="0" borderId="3" xfId="0" applyFont="1" applyBorder="1"/>
    <xf numFmtId="165" fontId="25" fillId="0" borderId="3" xfId="0" applyNumberFormat="1" applyFont="1" applyBorder="1" applyAlignment="1">
      <alignment wrapText="1"/>
    </xf>
    <xf numFmtId="165" fontId="24" fillId="0" borderId="3" xfId="0" applyNumberFormat="1" applyFont="1" applyBorder="1"/>
    <xf numFmtId="0" fontId="26" fillId="0" borderId="0" xfId="0" applyFont="1" applyAlignment="1">
      <alignment horizontal="right" wrapText="1"/>
    </xf>
    <xf numFmtId="0" fontId="25" fillId="0" borderId="1" xfId="0" applyFont="1" applyBorder="1" applyAlignment="1">
      <alignment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right"/>
    </xf>
    <xf numFmtId="165" fontId="0" fillId="0" borderId="0" xfId="0" applyNumberFormat="1"/>
    <xf numFmtId="0" fontId="27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8" fillId="0" borderId="0" xfId="0" applyFont="1"/>
    <xf numFmtId="0" fontId="0" fillId="0" borderId="19" xfId="0" applyBorder="1"/>
    <xf numFmtId="0" fontId="0" fillId="0" borderId="0" xfId="0" applyAlignment="1">
      <alignment horizontal="right" wrapText="1"/>
    </xf>
    <xf numFmtId="0" fontId="23" fillId="0" borderId="0" xfId="0" applyFont="1"/>
    <xf numFmtId="0" fontId="29" fillId="11" borderId="0" xfId="0" applyFont="1" applyFill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3" fillId="0" borderId="1" xfId="0" applyFont="1" applyBorder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4" fillId="4" borderId="3" xfId="0" applyFont="1" applyFill="1" applyBorder="1" applyAlignment="1">
      <alignment horizontal="center" vertical="top" wrapText="1"/>
    </xf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 shrinkToFit="1"/>
    </xf>
    <xf numFmtId="0" fontId="32" fillId="0" borderId="5" xfId="0" applyFont="1" applyBorder="1"/>
    <xf numFmtId="0" fontId="32" fillId="0" borderId="6" xfId="0" applyFont="1" applyBorder="1"/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12" fillId="10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2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/>
    </xf>
    <xf numFmtId="0" fontId="0" fillId="0" borderId="15" xfId="0" applyBorder="1"/>
    <xf numFmtId="49" fontId="13" fillId="0" borderId="9" xfId="0" applyNumberFormat="1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164" fontId="14" fillId="0" borderId="9" xfId="0" applyNumberFormat="1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9" xfId="0" applyFont="1" applyBorder="1" applyAlignment="1">
      <alignment horizontal="left"/>
    </xf>
    <xf numFmtId="0" fontId="17" fillId="0" borderId="9" xfId="0" applyFont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8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4" fillId="0" borderId="3" xfId="0" applyFont="1" applyBorder="1" applyAlignment="1">
      <alignment horizontal="right"/>
    </xf>
  </cellXfs>
  <cellStyles count="4">
    <cellStyle name="Безымянный1" xfId="1" xr:uid="{00000000-0005-0000-0000-000000000000}"/>
    <cellStyle name="Безымянный2" xfId="2" xr:uid="{00000000-0005-0000-0000-000001000000}"/>
    <cellStyle name="Безымянный3" xfId="3" xr:uid="{00000000-0005-0000-0000-000002000000}"/>
    <cellStyle name="Обычный" xfId="0" builtinId="0"/>
  </cellStyles>
  <dxfs count="8"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3" tint="0.59996337778862885"/>
          <bgColor theme="3" tint="0.59996337778862885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rgb="FFFFFBF7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3" tint="0.59996337778862885"/>
          <bgColor theme="3" tint="0.59996337778862885"/>
        </patternFill>
      </fill>
    </dxf>
  </dxfs>
  <tableStyles count="0" defaultTableStyle="TableStyleMedium2" defaultPivotStyle="PivotStyleLight16"/>
  <colors>
    <mruColors>
      <color rgb="FFFFFBF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"/>
    <pageSetUpPr fitToPage="1"/>
  </sheetPr>
  <dimension ref="A1:AMJ1048573"/>
  <sheetViews>
    <sheetView showGridLines="0" tabSelected="1" topLeftCell="A5" zoomScaleNormal="100" workbookViewId="0">
      <selection activeCell="AE25" sqref="AE25"/>
    </sheetView>
  </sheetViews>
  <sheetFormatPr defaultColWidth="11.5703125" defaultRowHeight="12" x14ac:dyDescent="0.2"/>
  <cols>
    <col min="1" max="1" width="3.28515625" style="2" customWidth="1"/>
    <col min="2" max="2" width="6.28515625" style="2" customWidth="1"/>
    <col min="3" max="3" width="13.85546875" style="2" customWidth="1"/>
    <col min="4" max="4" width="10.42578125" style="2" customWidth="1"/>
    <col min="5" max="35" width="3.5703125" style="2" customWidth="1"/>
    <col min="36" max="47" width="4.7109375" style="2" customWidth="1"/>
    <col min="48" max="64" width="8.42578125" style="2" customWidth="1"/>
    <col min="65" max="1024" width="11.5703125" style="2" customWidth="1"/>
    <col min="1025" max="1025" width="11.5703125" style="1" customWidth="1"/>
    <col min="1026" max="16384" width="11.5703125" style="1"/>
  </cols>
  <sheetData>
    <row r="1" spans="1:51" ht="14.25" hidden="1" customHeight="1" x14ac:dyDescent="0.2">
      <c r="C1" s="79" t="s">
        <v>0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4"/>
      <c r="V1" s="4"/>
      <c r="W1" s="4"/>
      <c r="X1" s="5"/>
      <c r="AU1" s="4" t="s">
        <v>1</v>
      </c>
    </row>
    <row r="2" spans="1:51" ht="12.75" hidden="1" customHeight="1" x14ac:dyDescent="0.2">
      <c r="C2" s="81" t="s">
        <v>2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X2" s="5"/>
      <c r="AU2" s="4" t="s">
        <v>3</v>
      </c>
    </row>
    <row r="3" spans="1:51" ht="14.25" hidden="1" customHeight="1" x14ac:dyDescent="0.2">
      <c r="C3" s="83" t="s">
        <v>4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7"/>
      <c r="V3" s="7"/>
      <c r="X3" s="84" t="s">
        <v>5</v>
      </c>
      <c r="Y3" s="85"/>
      <c r="Z3" s="85"/>
      <c r="AA3" s="85"/>
      <c r="AB3" s="85"/>
      <c r="AC3" s="85"/>
      <c r="AD3" s="85"/>
      <c r="AE3" s="85"/>
      <c r="AF3" s="85"/>
      <c r="AN3" s="8"/>
      <c r="AU3" s="4" t="s">
        <v>6</v>
      </c>
    </row>
    <row r="4" spans="1:51" ht="8.25" hidden="1" customHeight="1" x14ac:dyDescent="0.2">
      <c r="C4" s="81" t="s">
        <v>7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9"/>
      <c r="W4" s="9"/>
      <c r="AN4" s="9"/>
      <c r="AO4" s="9"/>
    </row>
    <row r="5" spans="1:51" ht="14.25" customHeight="1" x14ac:dyDescent="0.2">
      <c r="A5" s="86" t="s">
        <v>8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7">
        <v>14</v>
      </c>
    </row>
    <row r="6" spans="1:51" ht="10.5" customHeight="1" x14ac:dyDescent="0.2">
      <c r="A6" s="86" t="s">
        <v>9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8"/>
    </row>
    <row r="7" spans="1:51" ht="14.25" customHeight="1" x14ac:dyDescent="0.2">
      <c r="A7" s="89" t="str">
        <f>CONCATENATE("за ",данные!A1," месяц ",данные!B1)</f>
        <v>за февраль месяц  2026 года.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11"/>
    </row>
    <row r="8" spans="1:51" ht="15" customHeight="1" x14ac:dyDescent="0.2">
      <c r="A8" s="90" t="s">
        <v>10</v>
      </c>
      <c r="B8" s="90" t="s">
        <v>11</v>
      </c>
      <c r="C8" s="90" t="s">
        <v>12</v>
      </c>
      <c r="D8" s="90" t="s">
        <v>13</v>
      </c>
      <c r="E8" s="90" t="s">
        <v>14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3"/>
      <c r="AJ8" s="90" t="s">
        <v>15</v>
      </c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3"/>
      <c r="AV8" s="13"/>
      <c r="AW8" s="13"/>
      <c r="AX8" s="13"/>
      <c r="AY8" s="13"/>
    </row>
    <row r="9" spans="1:51" ht="12.75" customHeight="1" x14ac:dyDescent="0.2">
      <c r="A9" s="91"/>
      <c r="B9" s="91"/>
      <c r="C9" s="91"/>
      <c r="D9" s="91"/>
      <c r="E9" s="15" t="s">
        <v>16</v>
      </c>
      <c r="F9" s="15" t="s">
        <v>17</v>
      </c>
      <c r="G9" s="15" t="s">
        <v>18</v>
      </c>
      <c r="H9" s="15" t="s">
        <v>19</v>
      </c>
      <c r="I9" s="15" t="s">
        <v>20</v>
      </c>
      <c r="J9" s="15" t="s">
        <v>21</v>
      </c>
      <c r="K9" s="15" t="s">
        <v>22</v>
      </c>
      <c r="L9" s="15" t="s">
        <v>23</v>
      </c>
      <c r="M9" s="15" t="s">
        <v>24</v>
      </c>
      <c r="N9" s="15" t="s">
        <v>25</v>
      </c>
      <c r="O9" s="15" t="s">
        <v>26</v>
      </c>
      <c r="P9" s="15" t="s">
        <v>27</v>
      </c>
      <c r="Q9" s="15" t="s">
        <v>28</v>
      </c>
      <c r="R9" s="15" t="s">
        <v>29</v>
      </c>
      <c r="S9" s="15" t="s">
        <v>30</v>
      </c>
      <c r="T9" s="15" t="s">
        <v>31</v>
      </c>
      <c r="U9" s="15" t="s">
        <v>32</v>
      </c>
      <c r="V9" s="15" t="s">
        <v>33</v>
      </c>
      <c r="W9" s="15" t="s">
        <v>34</v>
      </c>
      <c r="X9" s="15" t="s">
        <v>35</v>
      </c>
      <c r="Y9" s="15" t="s">
        <v>36</v>
      </c>
      <c r="Z9" s="15" t="s">
        <v>37</v>
      </c>
      <c r="AA9" s="15" t="s">
        <v>38</v>
      </c>
      <c r="AB9" s="15" t="s">
        <v>39</v>
      </c>
      <c r="AC9" s="15" t="s">
        <v>40</v>
      </c>
      <c r="AD9" s="15" t="s">
        <v>41</v>
      </c>
      <c r="AE9" s="15" t="s">
        <v>42</v>
      </c>
      <c r="AF9" s="15" t="s">
        <v>43</v>
      </c>
      <c r="AG9" s="15" t="s">
        <v>44</v>
      </c>
      <c r="AH9" s="15" t="s">
        <v>45</v>
      </c>
      <c r="AI9" s="15" t="s">
        <v>46</v>
      </c>
      <c r="AJ9" s="90" t="s">
        <v>47</v>
      </c>
      <c r="AK9" s="92"/>
      <c r="AL9" s="92"/>
      <c r="AM9" s="92"/>
      <c r="AN9" s="92"/>
      <c r="AO9" s="92"/>
      <c r="AP9" s="92"/>
      <c r="AQ9" s="93"/>
      <c r="AR9" s="90" t="s">
        <v>48</v>
      </c>
      <c r="AS9" s="93"/>
      <c r="AT9" s="90" t="s">
        <v>49</v>
      </c>
      <c r="AU9" s="93"/>
    </row>
    <row r="10" spans="1:51" ht="44.25" customHeight="1" x14ac:dyDescent="0.2">
      <c r="A10" s="88"/>
      <c r="B10" s="88"/>
      <c r="C10" s="88"/>
      <c r="D10" s="88"/>
      <c r="E10" s="15"/>
      <c r="F10" s="15"/>
      <c r="G10" s="15"/>
      <c r="H10" s="15"/>
      <c r="I10" s="15"/>
      <c r="J10" s="16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7"/>
      <c r="AJ10" s="15" t="s">
        <v>50</v>
      </c>
      <c r="AK10" s="15" t="s">
        <v>51</v>
      </c>
      <c r="AL10" s="12" t="s">
        <v>52</v>
      </c>
      <c r="AM10" s="12" t="s">
        <v>53</v>
      </c>
      <c r="AN10" s="12" t="s">
        <v>54</v>
      </c>
      <c r="AO10" s="12" t="s">
        <v>55</v>
      </c>
      <c r="AP10" s="12" t="s">
        <v>56</v>
      </c>
      <c r="AQ10" s="12" t="s">
        <v>57</v>
      </c>
      <c r="AR10" s="12" t="s">
        <v>58</v>
      </c>
      <c r="AS10" s="12" t="s">
        <v>59</v>
      </c>
      <c r="AT10" s="12" t="s">
        <v>58</v>
      </c>
      <c r="AU10" s="12" t="s">
        <v>59</v>
      </c>
    </row>
    <row r="11" spans="1:51" ht="11.25" customHeight="1" x14ac:dyDescent="0.2">
      <c r="A11" s="18">
        <v>1</v>
      </c>
      <c r="B11" s="18"/>
      <c r="C11" s="18">
        <v>2</v>
      </c>
      <c r="D11" s="18">
        <v>3</v>
      </c>
      <c r="E11" s="95">
        <v>4</v>
      </c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3"/>
      <c r="AJ11" s="18">
        <v>5</v>
      </c>
      <c r="AK11" s="18">
        <v>6</v>
      </c>
      <c r="AL11" s="18">
        <v>7</v>
      </c>
      <c r="AM11" s="18">
        <v>8</v>
      </c>
      <c r="AN11" s="18">
        <v>9</v>
      </c>
      <c r="AO11" s="18">
        <v>10</v>
      </c>
      <c r="AP11" s="18">
        <v>11</v>
      </c>
      <c r="AQ11" s="18">
        <v>12</v>
      </c>
      <c r="AR11" s="18">
        <v>13</v>
      </c>
      <c r="AS11" s="18">
        <v>14</v>
      </c>
      <c r="AT11" s="18">
        <v>15</v>
      </c>
      <c r="AU11" s="18">
        <v>16</v>
      </c>
    </row>
    <row r="12" spans="1:51" ht="14.25" customHeight="1" x14ac:dyDescent="0.2">
      <c r="A12" s="19"/>
      <c r="B12" s="96" t="s">
        <v>60</v>
      </c>
      <c r="C12" s="97"/>
      <c r="D12" s="98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0"/>
      <c r="AM12" s="20"/>
      <c r="AN12" s="20"/>
      <c r="AO12" s="20"/>
      <c r="AP12" s="20"/>
      <c r="AQ12" s="22"/>
      <c r="AR12" s="20"/>
      <c r="AS12" s="20"/>
      <c r="AT12" s="22"/>
      <c r="AU12" s="22"/>
    </row>
    <row r="13" spans="1:51" ht="14.25" customHeight="1" x14ac:dyDescent="0.2">
      <c r="A13" s="23">
        <v>1</v>
      </c>
      <c r="B13" s="23">
        <v>83727</v>
      </c>
      <c r="C13" s="24" t="s">
        <v>61</v>
      </c>
      <c r="D13" s="24" t="s">
        <v>62</v>
      </c>
      <c r="E13" s="21"/>
      <c r="F13" s="21">
        <v>8</v>
      </c>
      <c r="G13" s="21">
        <v>4</v>
      </c>
      <c r="H13" s="21" t="s">
        <v>106</v>
      </c>
      <c r="I13" s="21">
        <v>8</v>
      </c>
      <c r="J13" s="21">
        <v>8</v>
      </c>
      <c r="K13" s="21">
        <v>7</v>
      </c>
      <c r="L13" s="21">
        <v>7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 t="str">
        <f>IF(RSCH!AJ13=0,"",RSCH!AJ13)</f>
        <v/>
      </c>
      <c r="AK13" s="21" t="str">
        <f>IF(RSCH!AK13=0,"",RSCH!AK13)</f>
        <v/>
      </c>
      <c r="AL13" s="21" t="str">
        <f>IF(RSCH!AL13=0,"",RSCH!AL13)</f>
        <v/>
      </c>
      <c r="AM13" s="21" t="str">
        <f>IF(RSCH!AM13=0,"",RSCH!AM13)</f>
        <v/>
      </c>
      <c r="AN13" s="21" t="str">
        <f>IF(RSCH!AN13=0,"",RSCH!AN13)</f>
        <v/>
      </c>
      <c r="AO13" s="21">
        <f>IF(RSCH!AO13=0,"",RSCH!AO13)</f>
        <v>14</v>
      </c>
      <c r="AP13" s="21" t="str">
        <f>IF(NOCH!AP13=0,"",NOCH!AP13)</f>
        <v/>
      </c>
      <c r="AQ13" s="21" t="str">
        <f t="shared" ref="AQ13" si="0">IF(AS13="","",IF((AS13-AU13)&gt;0,AS13-AU13,""))</f>
        <v/>
      </c>
      <c r="AR13" s="21">
        <f>IF(RSCH!AR13=0,"",RSCH!AR13)</f>
        <v>6</v>
      </c>
      <c r="AS13" s="78">
        <f>IF(RSCH!AS13=0,"",RSCH!AS13)</f>
        <v>42</v>
      </c>
      <c r="AT13" s="22">
        <f>NOCH!AT13</f>
        <v>19</v>
      </c>
      <c r="AU13" s="20">
        <f>NOCH!AU13</f>
        <v>152</v>
      </c>
    </row>
    <row r="14" spans="1:51" ht="14.25" customHeight="1" x14ac:dyDescent="0.2">
      <c r="A14" s="23">
        <v>2</v>
      </c>
      <c r="B14" s="23">
        <v>89046</v>
      </c>
      <c r="C14" s="24" t="s">
        <v>63</v>
      </c>
      <c r="D14" s="24" t="s">
        <v>62</v>
      </c>
      <c r="E14" s="21"/>
      <c r="F14" s="21">
        <v>8</v>
      </c>
      <c r="G14" s="21">
        <v>8</v>
      </c>
      <c r="H14" s="21">
        <v>8</v>
      </c>
      <c r="I14" s="21">
        <v>8</v>
      </c>
      <c r="J14" s="21">
        <v>8</v>
      </c>
      <c r="K14" s="21">
        <v>7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 t="str">
        <f>IF(RSCH!AJ14=0,"",RSCH!AJ14)</f>
        <v/>
      </c>
      <c r="AK14" s="21" t="str">
        <f>IF(RSCH!AK14=0,"",RSCH!AK14)</f>
        <v/>
      </c>
      <c r="AL14" s="21" t="str">
        <f>IF(RSCH!AL14=0,"",RSCH!AL14)</f>
        <v/>
      </c>
      <c r="AM14" s="21" t="str">
        <f>IF(RSCH!AM14=0,"",RSCH!AM14)</f>
        <v/>
      </c>
      <c r="AN14" s="21" t="str">
        <f>IF(RSCH!AN14=0,"",RSCH!AN14)</f>
        <v/>
      </c>
      <c r="AO14" s="21">
        <f>IF(RSCH!AO14=0,"",RSCH!AO14)</f>
        <v>7</v>
      </c>
      <c r="AP14" s="21" t="str">
        <f>IF(NOCH!AP14=0,"",NOCH!AP14)</f>
        <v/>
      </c>
      <c r="AQ14" s="21" t="str">
        <f t="shared" ref="AQ14:AQ39" si="1">IF(AS14="","",IF((AS14-AU14)&gt;0,AS14-AU14,""))</f>
        <v/>
      </c>
      <c r="AR14" s="21">
        <f>IF(RSCH!AR14=0,"",RSCH!AR14)</f>
        <v>6</v>
      </c>
      <c r="AS14" s="78">
        <f>IF(RSCH!AS14=0,"",RSCH!AS14)</f>
        <v>47</v>
      </c>
      <c r="AT14" s="22">
        <f>NOCH!AT14</f>
        <v>19</v>
      </c>
      <c r="AU14" s="20">
        <f>NOCH!AU14</f>
        <v>152</v>
      </c>
    </row>
    <row r="15" spans="1:51" ht="14.25" customHeight="1" x14ac:dyDescent="0.2">
      <c r="A15" s="23">
        <v>3</v>
      </c>
      <c r="B15" s="23">
        <v>31205</v>
      </c>
      <c r="C15" s="24" t="s">
        <v>64</v>
      </c>
      <c r="D15" s="25" t="s">
        <v>62</v>
      </c>
      <c r="E15" s="21" t="s">
        <v>104</v>
      </c>
      <c r="F15" s="21" t="s">
        <v>104</v>
      </c>
      <c r="G15" s="21" t="s">
        <v>104</v>
      </c>
      <c r="H15" s="21" t="s">
        <v>104</v>
      </c>
      <c r="I15" s="21" t="s">
        <v>104</v>
      </c>
      <c r="J15" s="21" t="s">
        <v>104</v>
      </c>
      <c r="K15" s="21" t="s">
        <v>104</v>
      </c>
      <c r="L15" s="21" t="s">
        <v>104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 t="str">
        <f>IF(RSCH!AJ15=0,"",RSCH!AJ15)</f>
        <v/>
      </c>
      <c r="AK15" s="21" t="str">
        <f>IF(RSCH!AK15=0,"",RSCH!AK15)</f>
        <v/>
      </c>
      <c r="AL15" s="21" t="str">
        <f>IF(RSCH!AL15=0,"",RSCH!AL15)</f>
        <v/>
      </c>
      <c r="AM15" s="21">
        <f>IF(RSCH!AM15=0,"",RSCH!AM15)</f>
        <v>8</v>
      </c>
      <c r="AN15" s="21" t="str">
        <f>IF(RSCH!AN15=0,"",RSCH!AN15)</f>
        <v/>
      </c>
      <c r="AO15" s="21" t="str">
        <f>IF(RSCH!AO15=0,"",RSCH!AO15)</f>
        <v/>
      </c>
      <c r="AP15" s="21" t="str">
        <f>IF(NOCH!AP15=0,"",NOCH!AP15)</f>
        <v/>
      </c>
      <c r="AQ15" s="21" t="str">
        <f t="shared" si="1"/>
        <v/>
      </c>
      <c r="AR15" s="21" t="str">
        <f>IF(RSCH!AR15=0,"",RSCH!AR15)</f>
        <v/>
      </c>
      <c r="AS15" s="78" t="str">
        <f>IF(RSCH!AS15=0,"",RSCH!AS15)</f>
        <v/>
      </c>
      <c r="AT15" s="22" t="str">
        <f>NOCH!AT15</f>
        <v/>
      </c>
      <c r="AU15" s="20" t="str">
        <f>NOCH!AU15</f>
        <v/>
      </c>
    </row>
    <row r="16" spans="1:51" ht="14.25" customHeight="1" x14ac:dyDescent="0.2">
      <c r="A16" s="23">
        <v>4</v>
      </c>
      <c r="B16" s="23">
        <v>83448</v>
      </c>
      <c r="C16" s="24" t="s">
        <v>65</v>
      </c>
      <c r="D16" s="24" t="s">
        <v>66</v>
      </c>
      <c r="E16" s="21">
        <v>7</v>
      </c>
      <c r="F16" s="21" t="s">
        <v>106</v>
      </c>
      <c r="G16" s="21">
        <v>8</v>
      </c>
      <c r="H16" s="21">
        <v>8</v>
      </c>
      <c r="I16" s="21">
        <v>8</v>
      </c>
      <c r="J16" s="21">
        <v>8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 t="str">
        <f>IF(RSCH!AJ16=0,"",RSCH!AJ16)</f>
        <v/>
      </c>
      <c r="AK16" s="21" t="str">
        <f>IF(RSCH!AK16=0,"",RSCH!AK16)</f>
        <v/>
      </c>
      <c r="AL16" s="21" t="str">
        <f>IF(RSCH!AL16=0,"",RSCH!AL16)</f>
        <v/>
      </c>
      <c r="AM16" s="21" t="str">
        <f>IF(RSCH!AM16=0,"",RSCH!AM16)</f>
        <v/>
      </c>
      <c r="AN16" s="21" t="str">
        <f>IF(RSCH!AN16=0,"",RSCH!AN16)</f>
        <v/>
      </c>
      <c r="AO16" s="21">
        <f>IF(RSCH!AO16=0,"",RSCH!AO16)</f>
        <v>7</v>
      </c>
      <c r="AP16" s="21" t="str">
        <f>IF(NOCH!AP16=0,"",NOCH!AP16)</f>
        <v/>
      </c>
      <c r="AQ16" s="21" t="str">
        <f t="shared" si="1"/>
        <v/>
      </c>
      <c r="AR16" s="21">
        <f>IF(RSCH!AR16=0,"",RSCH!AR16)</f>
        <v>5</v>
      </c>
      <c r="AS16" s="78">
        <f>IF(RSCH!AS16=0,"",RSCH!AS16)</f>
        <v>39</v>
      </c>
      <c r="AT16" s="22">
        <f>NOCH!AT16</f>
        <v>19</v>
      </c>
      <c r="AU16" s="20">
        <f>NOCH!AU16</f>
        <v>152</v>
      </c>
    </row>
    <row r="17" spans="1:47" ht="14.25" customHeight="1" x14ac:dyDescent="0.2">
      <c r="A17" s="23">
        <v>5</v>
      </c>
      <c r="B17" s="23">
        <v>21782</v>
      </c>
      <c r="C17" s="24" t="s">
        <v>67</v>
      </c>
      <c r="D17" s="24" t="s">
        <v>62</v>
      </c>
      <c r="E17" s="21">
        <v>7</v>
      </c>
      <c r="F17" s="21">
        <v>8</v>
      </c>
      <c r="G17" s="21">
        <v>8</v>
      </c>
      <c r="H17" s="21">
        <v>8</v>
      </c>
      <c r="I17" s="21">
        <v>8</v>
      </c>
      <c r="J17" s="21">
        <v>8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 t="str">
        <f>IF(RSCH!AJ17=0,"",RSCH!AJ17)</f>
        <v/>
      </c>
      <c r="AK17" s="21" t="str">
        <f>IF(RSCH!AK17=0,"",RSCH!AK17)</f>
        <v/>
      </c>
      <c r="AL17" s="21" t="str">
        <f>IF(RSCH!AL17=0,"",RSCH!AL17)</f>
        <v/>
      </c>
      <c r="AM17" s="21" t="str">
        <f>IF(RSCH!AM17=0,"",RSCH!AM17)</f>
        <v/>
      </c>
      <c r="AN17" s="21" t="str">
        <f>IF(RSCH!AN17=0,"",RSCH!AN17)</f>
        <v/>
      </c>
      <c r="AO17" s="21">
        <f>IF(RSCH!AO17=0,"",RSCH!AO17)</f>
        <v>7</v>
      </c>
      <c r="AP17" s="21" t="str">
        <f>IF(NOCH!AP17=0,"",NOCH!AP17)</f>
        <v/>
      </c>
      <c r="AQ17" s="21" t="str">
        <f t="shared" si="1"/>
        <v/>
      </c>
      <c r="AR17" s="21">
        <f>IF(RSCH!AR17=0,"",RSCH!AR17)</f>
        <v>6</v>
      </c>
      <c r="AS17" s="78">
        <f>IF(RSCH!AS17=0,"",RSCH!AS17)</f>
        <v>47</v>
      </c>
      <c r="AT17" s="22">
        <f>NOCH!AT17</f>
        <v>19</v>
      </c>
      <c r="AU17" s="20">
        <f>NOCH!AU17</f>
        <v>152</v>
      </c>
    </row>
    <row r="18" spans="1:47" ht="14.25" customHeight="1" x14ac:dyDescent="0.2">
      <c r="A18" s="23">
        <v>6</v>
      </c>
      <c r="B18" s="23">
        <v>90072</v>
      </c>
      <c r="C18" s="24" t="s">
        <v>68</v>
      </c>
      <c r="D18" s="24" t="s">
        <v>62</v>
      </c>
      <c r="E18" s="21"/>
      <c r="F18" s="21">
        <v>8</v>
      </c>
      <c r="G18" s="21">
        <v>8</v>
      </c>
      <c r="H18" s="21">
        <v>8</v>
      </c>
      <c r="I18" s="21">
        <v>8</v>
      </c>
      <c r="J18" s="21">
        <v>8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 t="str">
        <f>IF(RSCH!AJ18=0,"",RSCH!AJ18)</f>
        <v/>
      </c>
      <c r="AK18" s="21" t="str">
        <f>IF(RSCH!AK18=0,"",RSCH!AK18)</f>
        <v/>
      </c>
      <c r="AL18" s="21" t="str">
        <f>IF(RSCH!AL18=0,"",RSCH!AL18)</f>
        <v/>
      </c>
      <c r="AM18" s="21" t="str">
        <f>IF(RSCH!AM18=0,"",RSCH!AM18)</f>
        <v/>
      </c>
      <c r="AN18" s="21" t="str">
        <f>IF(RSCH!AN18=0,"",RSCH!AN18)</f>
        <v/>
      </c>
      <c r="AO18" s="21" t="str">
        <f>IF(RSCH!AO18=0,"",RSCH!AO18)</f>
        <v/>
      </c>
      <c r="AP18" s="21" t="str">
        <f>IF(NOCH!AP18=0,"",NOCH!AP18)</f>
        <v/>
      </c>
      <c r="AQ18" s="21" t="str">
        <f t="shared" si="1"/>
        <v/>
      </c>
      <c r="AR18" s="21">
        <f>IF(RSCH!AR18=0,"",RSCH!AR18)</f>
        <v>5</v>
      </c>
      <c r="AS18" s="78">
        <f>IF(RSCH!AS18=0,"",RSCH!AS18)</f>
        <v>40</v>
      </c>
      <c r="AT18" s="22">
        <f>NOCH!AT18</f>
        <v>19</v>
      </c>
      <c r="AU18" s="20">
        <f>NOCH!AU18</f>
        <v>152</v>
      </c>
    </row>
    <row r="19" spans="1:47" ht="14.25" customHeight="1" x14ac:dyDescent="0.2">
      <c r="A19" s="23">
        <v>7</v>
      </c>
      <c r="B19" s="23">
        <v>63549</v>
      </c>
      <c r="C19" s="24" t="s">
        <v>69</v>
      </c>
      <c r="D19" s="24" t="s">
        <v>62</v>
      </c>
      <c r="E19" s="21"/>
      <c r="F19" s="21">
        <v>8</v>
      </c>
      <c r="G19" s="21">
        <v>8</v>
      </c>
      <c r="H19" s="21">
        <v>8</v>
      </c>
      <c r="I19" s="21">
        <v>8</v>
      </c>
      <c r="J19" s="21">
        <v>8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 t="str">
        <f>IF(RSCH!AJ19=0,"",RSCH!AJ19)</f>
        <v/>
      </c>
      <c r="AK19" s="21" t="str">
        <f>IF(RSCH!AK19=0,"",RSCH!AK19)</f>
        <v/>
      </c>
      <c r="AL19" s="21" t="str">
        <f>IF(RSCH!AL19=0,"",RSCH!AL19)</f>
        <v/>
      </c>
      <c r="AM19" s="21" t="str">
        <f>IF(RSCH!AM19=0,"",RSCH!AM19)</f>
        <v/>
      </c>
      <c r="AN19" s="21" t="str">
        <f>IF(RSCH!AN19=0,"",RSCH!AN19)</f>
        <v/>
      </c>
      <c r="AO19" s="21" t="str">
        <f>IF(RSCH!AO19=0,"",RSCH!AO19)</f>
        <v/>
      </c>
      <c r="AP19" s="21" t="str">
        <f>IF(NOCH!AP19=0,"",NOCH!AP19)</f>
        <v/>
      </c>
      <c r="AQ19" s="21" t="str">
        <f t="shared" si="1"/>
        <v/>
      </c>
      <c r="AR19" s="21">
        <f>IF(RSCH!AR19=0,"",RSCH!AR19)</f>
        <v>5</v>
      </c>
      <c r="AS19" s="78">
        <f>IF(RSCH!AS19=0,"",RSCH!AS19)</f>
        <v>40</v>
      </c>
      <c r="AT19" s="22">
        <f>NOCH!AT19</f>
        <v>19</v>
      </c>
      <c r="AU19" s="20">
        <f>NOCH!AU19</f>
        <v>152</v>
      </c>
    </row>
    <row r="20" spans="1:47" ht="14.25" customHeight="1" x14ac:dyDescent="0.2">
      <c r="A20" s="23">
        <v>8</v>
      </c>
      <c r="B20" s="23">
        <v>12377</v>
      </c>
      <c r="C20" s="24" t="s">
        <v>70</v>
      </c>
      <c r="D20" s="24" t="s">
        <v>62</v>
      </c>
      <c r="E20" s="21"/>
      <c r="F20" s="21">
        <v>8</v>
      </c>
      <c r="G20" s="21">
        <v>8</v>
      </c>
      <c r="H20" s="21">
        <v>8</v>
      </c>
      <c r="I20" s="21">
        <v>8</v>
      </c>
      <c r="J20" s="21">
        <v>8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 t="str">
        <f>IF(RSCH!AJ20=0,"",RSCH!AJ20)</f>
        <v/>
      </c>
      <c r="AK20" s="21" t="str">
        <f>IF(RSCH!AK20=0,"",RSCH!AK20)</f>
        <v/>
      </c>
      <c r="AL20" s="21" t="str">
        <f>IF(RSCH!AL20=0,"",RSCH!AL20)</f>
        <v/>
      </c>
      <c r="AM20" s="21" t="str">
        <f>IF(RSCH!AM20=0,"",RSCH!AM20)</f>
        <v/>
      </c>
      <c r="AN20" s="21" t="str">
        <f>IF(RSCH!AN20=0,"",RSCH!AN20)</f>
        <v/>
      </c>
      <c r="AO20" s="21" t="str">
        <f>IF(RSCH!AO20=0,"",RSCH!AO20)</f>
        <v/>
      </c>
      <c r="AP20" s="21" t="str">
        <f>IF(NOCH!AP20=0,"",NOCH!AP20)</f>
        <v/>
      </c>
      <c r="AQ20" s="21" t="str">
        <f t="shared" si="1"/>
        <v/>
      </c>
      <c r="AR20" s="21">
        <f>IF(RSCH!AR20=0,"",RSCH!AR20)</f>
        <v>5</v>
      </c>
      <c r="AS20" s="78">
        <f>IF(RSCH!AS20=0,"",RSCH!AS20)</f>
        <v>40</v>
      </c>
      <c r="AT20" s="22">
        <f>NOCH!AT20</f>
        <v>19</v>
      </c>
      <c r="AU20" s="20">
        <f>NOCH!AU20</f>
        <v>152</v>
      </c>
    </row>
    <row r="21" spans="1:47" ht="14.25" customHeight="1" x14ac:dyDescent="0.2">
      <c r="A21" s="23">
        <v>9</v>
      </c>
      <c r="B21" s="23">
        <v>63558</v>
      </c>
      <c r="C21" s="24" t="s">
        <v>71</v>
      </c>
      <c r="D21" s="24" t="s">
        <v>62</v>
      </c>
      <c r="E21" s="21" t="s">
        <v>104</v>
      </c>
      <c r="F21" s="21" t="s">
        <v>104</v>
      </c>
      <c r="G21" s="21" t="s">
        <v>104</v>
      </c>
      <c r="H21" s="21" t="s">
        <v>104</v>
      </c>
      <c r="I21" s="21" t="s">
        <v>104</v>
      </c>
      <c r="J21" s="21" t="s">
        <v>104</v>
      </c>
      <c r="K21" s="21" t="s">
        <v>104</v>
      </c>
      <c r="L21" s="21" t="s">
        <v>104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 t="str">
        <f>IF(RSCH!AJ21=0,"",RSCH!AJ21)</f>
        <v/>
      </c>
      <c r="AK21" s="21" t="str">
        <f>IF(RSCH!AK21=0,"",RSCH!AK21)</f>
        <v/>
      </c>
      <c r="AL21" s="21" t="str">
        <f>IF(RSCH!AL21=0,"",RSCH!AL21)</f>
        <v/>
      </c>
      <c r="AM21" s="21">
        <f>IF(RSCH!AM21=0,"",RSCH!AM21)</f>
        <v>8</v>
      </c>
      <c r="AN21" s="21" t="str">
        <f>IF(RSCH!AN21=0,"",RSCH!AN21)</f>
        <v/>
      </c>
      <c r="AO21" s="21" t="str">
        <f>IF(RSCH!AO21=0,"",RSCH!AO21)</f>
        <v/>
      </c>
      <c r="AP21" s="21" t="str">
        <f>IF(NOCH!AP21=0,"",NOCH!AP21)</f>
        <v/>
      </c>
      <c r="AQ21" s="21" t="str">
        <f t="shared" si="1"/>
        <v/>
      </c>
      <c r="AR21" s="21" t="str">
        <f>IF(RSCH!AR21=0,"",RSCH!AR21)</f>
        <v/>
      </c>
      <c r="AS21" s="78" t="str">
        <f>IF(RSCH!AS21=0,"",RSCH!AS21)</f>
        <v/>
      </c>
      <c r="AT21" s="22" t="str">
        <f>NOCH!AT21</f>
        <v/>
      </c>
      <c r="AU21" s="20" t="str">
        <f>NOCH!AU21</f>
        <v/>
      </c>
    </row>
    <row r="22" spans="1:47" ht="12.75" customHeight="1" x14ac:dyDescent="0.2">
      <c r="A22" s="23">
        <v>10</v>
      </c>
      <c r="B22" s="23">
        <v>31178</v>
      </c>
      <c r="C22" s="24" t="s">
        <v>72</v>
      </c>
      <c r="D22" s="25" t="s">
        <v>62</v>
      </c>
      <c r="E22" s="21"/>
      <c r="F22" s="21">
        <v>8</v>
      </c>
      <c r="G22" s="21">
        <v>8</v>
      </c>
      <c r="H22" s="21">
        <v>8</v>
      </c>
      <c r="I22" s="21">
        <v>8</v>
      </c>
      <c r="J22" s="21">
        <v>8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 t="str">
        <f>IF(RSCH!AJ22=0,"",RSCH!AJ22)</f>
        <v/>
      </c>
      <c r="AK22" s="21" t="str">
        <f>IF(RSCH!AK22=0,"",RSCH!AK22)</f>
        <v/>
      </c>
      <c r="AL22" s="21" t="str">
        <f>IF(RSCH!AL22=0,"",RSCH!AL22)</f>
        <v/>
      </c>
      <c r="AM22" s="21" t="str">
        <f>IF(RSCH!AM22=0,"",RSCH!AM22)</f>
        <v/>
      </c>
      <c r="AN22" s="21" t="str">
        <f>IF(RSCH!AN22=0,"",RSCH!AN22)</f>
        <v/>
      </c>
      <c r="AO22" s="21" t="str">
        <f>IF(RSCH!AO22=0,"",RSCH!AO22)</f>
        <v/>
      </c>
      <c r="AP22" s="21" t="str">
        <f>IF(NOCH!AP22=0,"",NOCH!AP22)</f>
        <v/>
      </c>
      <c r="AQ22" s="21" t="str">
        <f t="shared" si="1"/>
        <v/>
      </c>
      <c r="AR22" s="21">
        <f>IF(RSCH!AR22=0,"",RSCH!AR22)</f>
        <v>5</v>
      </c>
      <c r="AS22" s="78">
        <f>IF(RSCH!AS22=0,"",RSCH!AS22)</f>
        <v>40</v>
      </c>
      <c r="AT22" s="22">
        <f>NOCH!AT22</f>
        <v>19</v>
      </c>
      <c r="AU22" s="20">
        <f>NOCH!AU22</f>
        <v>152</v>
      </c>
    </row>
    <row r="23" spans="1:47" ht="14.25" customHeight="1" x14ac:dyDescent="0.2">
      <c r="A23" s="23">
        <v>11</v>
      </c>
      <c r="B23" s="23">
        <v>21116</v>
      </c>
      <c r="C23" s="24" t="s">
        <v>73</v>
      </c>
      <c r="D23" s="24" t="s">
        <v>62</v>
      </c>
      <c r="E23" s="21"/>
      <c r="F23" s="21">
        <v>8</v>
      </c>
      <c r="G23" s="21">
        <v>8</v>
      </c>
      <c r="H23" s="21">
        <v>8</v>
      </c>
      <c r="I23" s="21">
        <v>8</v>
      </c>
      <c r="J23" s="21">
        <v>8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 t="str">
        <f>IF(RSCH!AJ23=0,"",RSCH!AJ23)</f>
        <v/>
      </c>
      <c r="AK23" s="21" t="str">
        <f>IF(RSCH!AK23=0,"",RSCH!AK23)</f>
        <v/>
      </c>
      <c r="AL23" s="21" t="str">
        <f>IF(RSCH!AL23=0,"",RSCH!AL23)</f>
        <v/>
      </c>
      <c r="AM23" s="21" t="str">
        <f>IF(RSCH!AM23=0,"",RSCH!AM23)</f>
        <v/>
      </c>
      <c r="AN23" s="21" t="str">
        <f>IF(RSCH!AN23=0,"",RSCH!AN23)</f>
        <v/>
      </c>
      <c r="AO23" s="21" t="str">
        <f>IF(RSCH!AO23=0,"",RSCH!AO23)</f>
        <v/>
      </c>
      <c r="AP23" s="21" t="str">
        <f>IF(NOCH!AP23=0,"",NOCH!AP23)</f>
        <v/>
      </c>
      <c r="AQ23" s="21" t="str">
        <f t="shared" si="1"/>
        <v/>
      </c>
      <c r="AR23" s="21">
        <f>IF(RSCH!AR23=0,"",RSCH!AR23)</f>
        <v>5</v>
      </c>
      <c r="AS23" s="78">
        <f>IF(RSCH!AS23=0,"",RSCH!AS23)</f>
        <v>40</v>
      </c>
      <c r="AT23" s="22">
        <f>NOCH!AT23</f>
        <v>19</v>
      </c>
      <c r="AU23" s="20">
        <f>NOCH!AU23</f>
        <v>152</v>
      </c>
    </row>
    <row r="24" spans="1:47" ht="14.25" customHeight="1" x14ac:dyDescent="0.2">
      <c r="A24" s="23">
        <v>12</v>
      </c>
      <c r="B24" s="23">
        <v>66051</v>
      </c>
      <c r="C24" s="24" t="s">
        <v>74</v>
      </c>
      <c r="D24" s="24" t="s">
        <v>66</v>
      </c>
      <c r="E24" s="21"/>
      <c r="F24" s="21">
        <v>8</v>
      </c>
      <c r="G24" s="21">
        <v>8</v>
      </c>
      <c r="H24" s="21">
        <v>8</v>
      </c>
      <c r="I24" s="21">
        <v>8</v>
      </c>
      <c r="J24" s="21">
        <v>8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 t="str">
        <f>IF(RSCH!AJ24=0,"",RSCH!AJ24)</f>
        <v/>
      </c>
      <c r="AK24" s="21" t="str">
        <f>IF(RSCH!AK24=0,"",RSCH!AK24)</f>
        <v/>
      </c>
      <c r="AL24" s="21" t="str">
        <f>IF(RSCH!AL24=0,"",RSCH!AL24)</f>
        <v/>
      </c>
      <c r="AM24" s="21" t="str">
        <f>IF(RSCH!AM24=0,"",RSCH!AM24)</f>
        <v/>
      </c>
      <c r="AN24" s="21" t="str">
        <f>IF(RSCH!AN24=0,"",RSCH!AN24)</f>
        <v/>
      </c>
      <c r="AO24" s="21" t="str">
        <f>IF(RSCH!AO24=0,"",RSCH!AO24)</f>
        <v/>
      </c>
      <c r="AP24" s="21" t="str">
        <f>IF(NOCH!AP24=0,"",NOCH!AP24)</f>
        <v/>
      </c>
      <c r="AQ24" s="21" t="str">
        <f t="shared" si="1"/>
        <v/>
      </c>
      <c r="AR24" s="21">
        <f>IF(RSCH!AR24=0,"",RSCH!AR24)</f>
        <v>5</v>
      </c>
      <c r="AS24" s="78">
        <f>IF(RSCH!AS24=0,"",RSCH!AS24)</f>
        <v>40</v>
      </c>
      <c r="AT24" s="22">
        <f>NOCH!AT24</f>
        <v>19</v>
      </c>
      <c r="AU24" s="20">
        <f>NOCH!AU24</f>
        <v>152</v>
      </c>
    </row>
    <row r="25" spans="1:47" ht="14.25" customHeight="1" x14ac:dyDescent="0.2">
      <c r="A25" s="23">
        <v>13</v>
      </c>
      <c r="B25" s="23">
        <v>16265</v>
      </c>
      <c r="C25" s="24" t="s">
        <v>75</v>
      </c>
      <c r="D25" s="25" t="s">
        <v>62</v>
      </c>
      <c r="E25" s="21"/>
      <c r="F25" s="21" t="s">
        <v>106</v>
      </c>
      <c r="G25" s="21">
        <v>8</v>
      </c>
      <c r="H25" s="21">
        <v>8</v>
      </c>
      <c r="I25" s="21">
        <v>8</v>
      </c>
      <c r="J25" s="21">
        <v>8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 t="str">
        <f>IF(RSCH!AJ25=0,"",RSCH!AJ25)</f>
        <v/>
      </c>
      <c r="AK25" s="21" t="str">
        <f>IF(RSCH!AK25=0,"",RSCH!AK25)</f>
        <v/>
      </c>
      <c r="AL25" s="21" t="str">
        <f>IF(RSCH!AL25=0,"",RSCH!AL25)</f>
        <v/>
      </c>
      <c r="AM25" s="21" t="str">
        <f>IF(RSCH!AM25=0,"",RSCH!AM25)</f>
        <v/>
      </c>
      <c r="AN25" s="21" t="str">
        <f>IF(RSCH!AN25=0,"",RSCH!AN25)</f>
        <v/>
      </c>
      <c r="AO25" s="21" t="str">
        <f>IF(RSCH!AO25=0,"",RSCH!AO25)</f>
        <v/>
      </c>
      <c r="AP25" s="21" t="str">
        <f>IF(NOCH!AP25=0,"",NOCH!AP25)</f>
        <v/>
      </c>
      <c r="AQ25" s="21" t="str">
        <f t="shared" si="1"/>
        <v/>
      </c>
      <c r="AR25" s="21">
        <f>IF(RSCH!AR25=0,"",RSCH!AR25)</f>
        <v>4</v>
      </c>
      <c r="AS25" s="78">
        <f>IF(RSCH!AS25=0,"",RSCH!AS25)</f>
        <v>32</v>
      </c>
      <c r="AT25" s="22">
        <f>NOCH!AT25</f>
        <v>19</v>
      </c>
      <c r="AU25" s="20">
        <f>NOCH!AU25</f>
        <v>152</v>
      </c>
    </row>
    <row r="26" spans="1:47" ht="14.25" customHeight="1" x14ac:dyDescent="0.2">
      <c r="A26" s="23">
        <v>14</v>
      </c>
      <c r="B26" s="23">
        <v>83322</v>
      </c>
      <c r="C26" s="24" t="s">
        <v>76</v>
      </c>
      <c r="D26" s="24" t="s">
        <v>66</v>
      </c>
      <c r="E26" s="21"/>
      <c r="F26" s="21">
        <v>8</v>
      </c>
      <c r="G26" s="21">
        <v>8</v>
      </c>
      <c r="H26" s="21">
        <v>8</v>
      </c>
      <c r="I26" s="21">
        <v>8</v>
      </c>
      <c r="J26" s="21">
        <v>8</v>
      </c>
      <c r="K26" s="21">
        <v>7</v>
      </c>
      <c r="L26" s="21">
        <v>7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 t="str">
        <f>IF(RSCH!AJ26=0,"",RSCH!AJ26)</f>
        <v/>
      </c>
      <c r="AK26" s="21" t="str">
        <f>IF(RSCH!AK26=0,"",RSCH!AK26)</f>
        <v/>
      </c>
      <c r="AL26" s="21" t="str">
        <f>IF(RSCH!AL26=0,"",RSCH!AL26)</f>
        <v/>
      </c>
      <c r="AM26" s="21" t="str">
        <f>IF(RSCH!AM26=0,"",RSCH!AM26)</f>
        <v/>
      </c>
      <c r="AN26" s="21" t="str">
        <f>IF(RSCH!AN26=0,"",RSCH!AN26)</f>
        <v/>
      </c>
      <c r="AO26" s="21">
        <f>IF(RSCH!AO26=0,"",RSCH!AO26)</f>
        <v>14</v>
      </c>
      <c r="AP26" s="21" t="str">
        <f>IF(NOCH!AP26=0,"",NOCH!AP26)</f>
        <v/>
      </c>
      <c r="AQ26" s="21" t="str">
        <f t="shared" si="1"/>
        <v/>
      </c>
      <c r="AR26" s="21">
        <f>IF(RSCH!AR26=0,"",RSCH!AR26)</f>
        <v>7</v>
      </c>
      <c r="AS26" s="78">
        <f>IF(RSCH!AS26=0,"",RSCH!AS26)</f>
        <v>54</v>
      </c>
      <c r="AT26" s="22">
        <f>NOCH!AT26</f>
        <v>19</v>
      </c>
      <c r="AU26" s="20">
        <f>NOCH!AU26</f>
        <v>152</v>
      </c>
    </row>
    <row r="27" spans="1:47" ht="14.25" customHeight="1" x14ac:dyDescent="0.2">
      <c r="A27" s="23">
        <v>15</v>
      </c>
      <c r="B27" s="23">
        <v>63189</v>
      </c>
      <c r="C27" s="24" t="s">
        <v>77</v>
      </c>
      <c r="D27" s="24" t="s">
        <v>78</v>
      </c>
      <c r="E27" s="21"/>
      <c r="F27" s="21">
        <v>8</v>
      </c>
      <c r="G27" s="21">
        <v>8</v>
      </c>
      <c r="H27" s="21">
        <v>8</v>
      </c>
      <c r="I27" s="21">
        <v>8</v>
      </c>
      <c r="J27" s="21">
        <v>8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 t="str">
        <f>IF(RSCH!AJ27=0,"",RSCH!AJ27)</f>
        <v/>
      </c>
      <c r="AK27" s="21" t="str">
        <f>IF(RSCH!AK27=0,"",RSCH!AK27)</f>
        <v/>
      </c>
      <c r="AL27" s="21" t="str">
        <f>IF(RSCH!AL27=0,"",RSCH!AL27)</f>
        <v/>
      </c>
      <c r="AM27" s="21" t="str">
        <f>IF(RSCH!AM27=0,"",RSCH!AM27)</f>
        <v/>
      </c>
      <c r="AN27" s="21" t="str">
        <f>IF(RSCH!AN27=0,"",RSCH!AN27)</f>
        <v/>
      </c>
      <c r="AO27" s="21" t="str">
        <f>IF(RSCH!AO27=0,"",RSCH!AO27)</f>
        <v/>
      </c>
      <c r="AP27" s="21" t="str">
        <f>IF(NOCH!AP27=0,"",NOCH!AP27)</f>
        <v/>
      </c>
      <c r="AQ27" s="21" t="str">
        <f t="shared" si="1"/>
        <v/>
      </c>
      <c r="AR27" s="21">
        <f>IF(RSCH!AR27=0,"",RSCH!AR27)</f>
        <v>5</v>
      </c>
      <c r="AS27" s="78">
        <f>IF(RSCH!AS27=0,"",RSCH!AS27)</f>
        <v>40</v>
      </c>
      <c r="AT27" s="22">
        <f>NOCH!AT27</f>
        <v>19</v>
      </c>
      <c r="AU27" s="20">
        <f>NOCH!AU27</f>
        <v>152</v>
      </c>
    </row>
    <row r="28" spans="1:47" ht="14.25" customHeight="1" x14ac:dyDescent="0.2">
      <c r="A28" s="23">
        <v>16</v>
      </c>
      <c r="B28" s="23">
        <v>12368</v>
      </c>
      <c r="C28" s="24" t="s">
        <v>79</v>
      </c>
      <c r="D28" s="24" t="s">
        <v>80</v>
      </c>
      <c r="E28" s="21"/>
      <c r="F28" s="21">
        <v>8</v>
      </c>
      <c r="G28" s="21">
        <v>8</v>
      </c>
      <c r="H28" s="21">
        <v>8</v>
      </c>
      <c r="I28" s="21">
        <v>8</v>
      </c>
      <c r="J28" s="21">
        <v>8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 t="str">
        <f>IF(RSCH!AJ28=0,"",RSCH!AJ28)</f>
        <v/>
      </c>
      <c r="AK28" s="21" t="str">
        <f>IF(RSCH!AK28=0,"",RSCH!AK28)</f>
        <v/>
      </c>
      <c r="AL28" s="21" t="str">
        <f>IF(RSCH!AL28=0,"",RSCH!AL28)</f>
        <v/>
      </c>
      <c r="AM28" s="21" t="str">
        <f>IF(RSCH!AM28=0,"",RSCH!AM28)</f>
        <v/>
      </c>
      <c r="AN28" s="21" t="str">
        <f>IF(RSCH!AN28=0,"",RSCH!AN28)</f>
        <v/>
      </c>
      <c r="AO28" s="21" t="str">
        <f>IF(RSCH!AO28=0,"",RSCH!AO28)</f>
        <v/>
      </c>
      <c r="AP28" s="21" t="str">
        <f>IF(NOCH!AP28=0,"",NOCH!AP28)</f>
        <v/>
      </c>
      <c r="AQ28" s="21" t="str">
        <f t="shared" si="1"/>
        <v/>
      </c>
      <c r="AR28" s="21">
        <f>IF(RSCH!AR28=0,"",RSCH!AR28)</f>
        <v>5</v>
      </c>
      <c r="AS28" s="78">
        <f>IF(RSCH!AS28=0,"",RSCH!AS28)</f>
        <v>40</v>
      </c>
      <c r="AT28" s="22">
        <f>NOCH!AT28</f>
        <v>19</v>
      </c>
      <c r="AU28" s="20">
        <f>NOCH!AU28</f>
        <v>152</v>
      </c>
    </row>
    <row r="29" spans="1:47" ht="14.25" customHeight="1" x14ac:dyDescent="0.2">
      <c r="A29" s="23">
        <v>17</v>
      </c>
      <c r="B29" s="23">
        <v>12512</v>
      </c>
      <c r="C29" s="24" t="s">
        <v>81</v>
      </c>
      <c r="D29" s="24" t="s">
        <v>80</v>
      </c>
      <c r="E29" s="21"/>
      <c r="F29" s="21">
        <v>8</v>
      </c>
      <c r="G29" s="21">
        <v>8</v>
      </c>
      <c r="H29" s="21">
        <v>8</v>
      </c>
      <c r="I29" s="21">
        <v>8</v>
      </c>
      <c r="J29" s="21">
        <v>8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 t="str">
        <f>IF(RSCH!AJ29=0,"",RSCH!AJ29)</f>
        <v/>
      </c>
      <c r="AK29" s="21" t="str">
        <f>IF(RSCH!AK29=0,"",RSCH!AK29)</f>
        <v/>
      </c>
      <c r="AL29" s="21" t="str">
        <f>IF(RSCH!AL29=0,"",RSCH!AL29)</f>
        <v/>
      </c>
      <c r="AM29" s="21" t="str">
        <f>IF(RSCH!AM29=0,"",RSCH!AM29)</f>
        <v/>
      </c>
      <c r="AN29" s="21" t="str">
        <f>IF(RSCH!AN29=0,"",RSCH!AN29)</f>
        <v/>
      </c>
      <c r="AO29" s="21" t="str">
        <f>IF(RSCH!AO29=0,"",RSCH!AO29)</f>
        <v/>
      </c>
      <c r="AP29" s="21" t="str">
        <f>IF(NOCH!AP29=0,"",NOCH!AP29)</f>
        <v/>
      </c>
      <c r="AQ29" s="21" t="str">
        <f t="shared" si="1"/>
        <v/>
      </c>
      <c r="AR29" s="21">
        <f>IF(RSCH!AR29=0,"",RSCH!AR29)</f>
        <v>5</v>
      </c>
      <c r="AS29" s="78">
        <f>IF(RSCH!AS29=0,"",RSCH!AS29)</f>
        <v>40</v>
      </c>
      <c r="AT29" s="22">
        <f>NOCH!AT29</f>
        <v>19</v>
      </c>
      <c r="AU29" s="20">
        <f>NOCH!AU29</f>
        <v>152</v>
      </c>
    </row>
    <row r="30" spans="1:47" ht="14.25" customHeight="1" x14ac:dyDescent="0.2">
      <c r="A30" s="23"/>
      <c r="B30" s="96" t="s">
        <v>82</v>
      </c>
      <c r="C30" s="97"/>
      <c r="D30" s="98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 t="str">
        <f>IF(RSCH!AJ30=0,"",RSCH!AJ30)</f>
        <v/>
      </c>
      <c r="AK30" s="21" t="str">
        <f>IF(RSCH!AK30=0,"",RSCH!AK30)</f>
        <v/>
      </c>
      <c r="AL30" s="21" t="str">
        <f>IF(RSCH!AL30=0,"",RSCH!AL30)</f>
        <v/>
      </c>
      <c r="AM30" s="21" t="str">
        <f>IF(RSCH!AM30=0,"",RSCH!AM30)</f>
        <v/>
      </c>
      <c r="AN30" s="21" t="str">
        <f>IF(RSCH!AN30=0,"",RSCH!AN30)</f>
        <v/>
      </c>
      <c r="AO30" s="21" t="str">
        <f>IF(RSCH!AO30=0,"",RSCH!AO30)</f>
        <v/>
      </c>
      <c r="AP30" s="21" t="str">
        <f>IF(NOCH!AP30=0,"",NOCH!AP30)</f>
        <v/>
      </c>
      <c r="AQ30" s="21" t="str">
        <f t="shared" si="1"/>
        <v/>
      </c>
      <c r="AR30" s="21" t="str">
        <f>IF(RSCH!AR30=0,"",RSCH!AR30)</f>
        <v/>
      </c>
      <c r="AS30" s="21" t="str">
        <f>IF(RSCH!AS30=0,"",RSCH!AS30)</f>
        <v/>
      </c>
      <c r="AT30" s="22" t="str">
        <f>NOCH!AT30</f>
        <v/>
      </c>
      <c r="AU30" s="20" t="str">
        <f>NOCH!AU30</f>
        <v/>
      </c>
    </row>
    <row r="31" spans="1:47" ht="14.25" customHeight="1" x14ac:dyDescent="0.2">
      <c r="A31" s="23">
        <v>18</v>
      </c>
      <c r="B31" s="23">
        <v>39962</v>
      </c>
      <c r="C31" s="24" t="s">
        <v>83</v>
      </c>
      <c r="D31" s="25" t="s">
        <v>66</v>
      </c>
      <c r="E31" s="21"/>
      <c r="F31" s="21">
        <v>8</v>
      </c>
      <c r="G31" s="21">
        <v>8</v>
      </c>
      <c r="H31" s="21">
        <v>4</v>
      </c>
      <c r="I31" s="21">
        <v>8</v>
      </c>
      <c r="J31" s="21">
        <v>8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 t="str">
        <f>IF(RSCH!AJ31=0,"",RSCH!AJ31)</f>
        <v/>
      </c>
      <c r="AK31" s="21" t="str">
        <f>IF(RSCH!AK31=0,"",RSCH!AK31)</f>
        <v/>
      </c>
      <c r="AL31" s="21" t="str">
        <f>IF(RSCH!AL31=0,"",RSCH!AL31)</f>
        <v/>
      </c>
      <c r="AM31" s="21" t="str">
        <f>IF(RSCH!AM31=0,"",RSCH!AM31)</f>
        <v/>
      </c>
      <c r="AN31" s="21" t="str">
        <f>IF(RSCH!AN31=0,"",RSCH!AN31)</f>
        <v/>
      </c>
      <c r="AO31" s="21" t="str">
        <f>IF(RSCH!AO31=0,"",RSCH!AO31)</f>
        <v/>
      </c>
      <c r="AP31" s="21" t="str">
        <f>IF(NOCH!AP31=0,"",NOCH!AP31)</f>
        <v/>
      </c>
      <c r="AQ31" s="21" t="str">
        <f t="shared" si="1"/>
        <v/>
      </c>
      <c r="AR31" s="21">
        <f>IF(RSCH!AR31=0,"",RSCH!AR31)</f>
        <v>5</v>
      </c>
      <c r="AS31" s="78">
        <f>IF(RSCH!AS31=0,"",RSCH!AS31)</f>
        <v>36</v>
      </c>
      <c r="AT31" s="22">
        <f>NOCH!AT31</f>
        <v>19</v>
      </c>
      <c r="AU31" s="20">
        <f>NOCH!AU31</f>
        <v>152</v>
      </c>
    </row>
    <row r="32" spans="1:47" ht="14.25" customHeight="1" x14ac:dyDescent="0.2">
      <c r="A32" s="23">
        <v>19</v>
      </c>
      <c r="B32" s="23">
        <v>85743</v>
      </c>
      <c r="C32" s="24" t="s">
        <v>84</v>
      </c>
      <c r="D32" s="24" t="s">
        <v>62</v>
      </c>
      <c r="E32" s="21"/>
      <c r="F32" s="21">
        <v>8</v>
      </c>
      <c r="G32" s="21">
        <v>8</v>
      </c>
      <c r="H32" s="21">
        <v>8</v>
      </c>
      <c r="I32" s="21">
        <v>8</v>
      </c>
      <c r="J32" s="21">
        <v>8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 t="str">
        <f>IF(RSCH!AJ32=0,"",RSCH!AJ32)</f>
        <v/>
      </c>
      <c r="AK32" s="21" t="str">
        <f>IF(RSCH!AK32=0,"",RSCH!AK32)</f>
        <v/>
      </c>
      <c r="AL32" s="21" t="str">
        <f>IF(RSCH!AL32=0,"",RSCH!AL32)</f>
        <v/>
      </c>
      <c r="AM32" s="21" t="str">
        <f>IF(RSCH!AM32=0,"",RSCH!AM32)</f>
        <v/>
      </c>
      <c r="AN32" s="21" t="str">
        <f>IF(RSCH!AN32=0,"",RSCH!AN32)</f>
        <v/>
      </c>
      <c r="AO32" s="21" t="str">
        <f>IF(RSCH!AO32=0,"",RSCH!AO32)</f>
        <v/>
      </c>
      <c r="AP32" s="21" t="str">
        <f>IF(NOCH!AP32=0,"",NOCH!AP32)</f>
        <v/>
      </c>
      <c r="AQ32" s="21" t="str">
        <f t="shared" si="1"/>
        <v/>
      </c>
      <c r="AR32" s="21">
        <f>IF(RSCH!AR32=0,"",RSCH!AR32)</f>
        <v>5</v>
      </c>
      <c r="AS32" s="78">
        <f>IF(RSCH!AS32=0,"",RSCH!AS32)</f>
        <v>40</v>
      </c>
      <c r="AT32" s="22">
        <f>NOCH!AT32</f>
        <v>19</v>
      </c>
      <c r="AU32" s="20">
        <f>NOCH!AU32</f>
        <v>152</v>
      </c>
    </row>
    <row r="33" spans="1:47" ht="14.25" hidden="1" customHeight="1" x14ac:dyDescent="0.2">
      <c r="A33" s="26"/>
      <c r="B33" s="26"/>
      <c r="C33" s="27"/>
      <c r="D33" s="27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 t="str">
        <f>IF(RSCH!AJ33=0,"",RSCH!AJ33)</f>
        <v/>
      </c>
      <c r="AK33" s="21" t="str">
        <f>IF(RSCH!AK33=0,"",RSCH!AK33)</f>
        <v/>
      </c>
      <c r="AL33" s="21" t="str">
        <f>IF(RSCH!AL33=0,"",RSCH!AL33)</f>
        <v/>
      </c>
      <c r="AM33" s="21" t="str">
        <f>IF(RSCH!AM33=0,"",RSCH!AM33)</f>
        <v/>
      </c>
      <c r="AN33" s="21" t="str">
        <f>IF(RSCH!AN33=0,"",RSCH!AN33)</f>
        <v/>
      </c>
      <c r="AO33" s="21" t="str">
        <f>IF(RSCH!AO33=0,"",RSCH!AO33)</f>
        <v/>
      </c>
      <c r="AP33" s="21" t="str">
        <f>IF(NOCH!AP33=0,"",NOCH!AP33)</f>
        <v/>
      </c>
      <c r="AQ33" s="21" t="str">
        <f t="shared" si="1"/>
        <v/>
      </c>
      <c r="AR33" s="21" t="str">
        <f>IF(RSCH!AR33=0,"",RSCH!AR33)</f>
        <v/>
      </c>
      <c r="AS33" s="21" t="str">
        <f>IF(RSCH!AS33=0,"",RSCH!AS33)</f>
        <v/>
      </c>
      <c r="AT33" s="22" t="str">
        <f>NOCH!AT33</f>
        <v/>
      </c>
      <c r="AU33" s="20" t="str">
        <f>NOCH!AU33</f>
        <v/>
      </c>
    </row>
    <row r="34" spans="1:47" ht="14.25" hidden="1" customHeight="1" x14ac:dyDescent="0.2">
      <c r="A34" s="28"/>
      <c r="B34" s="29"/>
      <c r="C34" s="30"/>
      <c r="D34" s="3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 t="str">
        <f>IF(RSCH!AJ34=0,"",RSCH!AJ34)</f>
        <v/>
      </c>
      <c r="AK34" s="21" t="str">
        <f>IF(RSCH!AK34=0,"",RSCH!AK34)</f>
        <v/>
      </c>
      <c r="AL34" s="21" t="str">
        <f>IF(RSCH!AL34=0,"",RSCH!AL34)</f>
        <v/>
      </c>
      <c r="AM34" s="21" t="str">
        <f>IF(RSCH!AM34=0,"",RSCH!AM34)</f>
        <v/>
      </c>
      <c r="AN34" s="21" t="str">
        <f>IF(RSCH!AN34=0,"",RSCH!AN34)</f>
        <v/>
      </c>
      <c r="AO34" s="21" t="str">
        <f>IF(RSCH!AO34=0,"",RSCH!AO34)</f>
        <v/>
      </c>
      <c r="AP34" s="21" t="str">
        <f>IF(NOCH!AP34=0,"",NOCH!AP34)</f>
        <v/>
      </c>
      <c r="AQ34" s="21" t="str">
        <f t="shared" si="1"/>
        <v/>
      </c>
      <c r="AR34" s="21" t="str">
        <f>IF(RSCH!AR34=0,"",RSCH!AR34)</f>
        <v/>
      </c>
      <c r="AS34" s="21" t="str">
        <f>IF(RSCH!AS34=0,"",RSCH!AS34)</f>
        <v/>
      </c>
      <c r="AT34" s="22" t="str">
        <f>NOCH!AT34</f>
        <v/>
      </c>
      <c r="AU34" s="20" t="str">
        <f>NOCH!AU34</f>
        <v/>
      </c>
    </row>
    <row r="35" spans="1:47" ht="14.25" hidden="1" customHeight="1" x14ac:dyDescent="0.2">
      <c r="A35" s="28"/>
      <c r="B35" s="29"/>
      <c r="C35" s="30"/>
      <c r="D35" s="30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 t="str">
        <f>IF(RSCH!AJ35=0,"",RSCH!AJ35)</f>
        <v/>
      </c>
      <c r="AK35" s="21" t="str">
        <f>IF(RSCH!AK35=0,"",RSCH!AK35)</f>
        <v/>
      </c>
      <c r="AL35" s="21" t="str">
        <f>IF(RSCH!AL35=0,"",RSCH!AL35)</f>
        <v/>
      </c>
      <c r="AM35" s="21" t="str">
        <f>IF(RSCH!AM35=0,"",RSCH!AM35)</f>
        <v/>
      </c>
      <c r="AN35" s="21" t="str">
        <f>IF(RSCH!AN35=0,"",RSCH!AN35)</f>
        <v/>
      </c>
      <c r="AO35" s="21" t="str">
        <f>IF(RSCH!AO35=0,"",RSCH!AO35)</f>
        <v/>
      </c>
      <c r="AP35" s="21" t="str">
        <f>IF(NOCH!AP35=0,"",NOCH!AP35)</f>
        <v/>
      </c>
      <c r="AQ35" s="21" t="str">
        <f t="shared" si="1"/>
        <v/>
      </c>
      <c r="AR35" s="21" t="str">
        <f>IF(RSCH!AR35=0,"",RSCH!AR35)</f>
        <v/>
      </c>
      <c r="AS35" s="21" t="str">
        <f>IF(RSCH!AS35=0,"",RSCH!AS35)</f>
        <v/>
      </c>
      <c r="AT35" s="22" t="str">
        <f>NOCH!AT35</f>
        <v/>
      </c>
      <c r="AU35" s="20" t="str">
        <f>NOCH!AU35</f>
        <v/>
      </c>
    </row>
    <row r="36" spans="1:47" ht="14.25" hidden="1" customHeight="1" x14ac:dyDescent="0.2">
      <c r="A36" s="28"/>
      <c r="B36" s="29"/>
      <c r="C36" s="30"/>
      <c r="D36" s="30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 t="str">
        <f>IF(RSCH!AJ36=0,"",RSCH!AJ36)</f>
        <v/>
      </c>
      <c r="AK36" s="21" t="str">
        <f>IF(RSCH!AK36=0,"",RSCH!AK36)</f>
        <v/>
      </c>
      <c r="AL36" s="21" t="str">
        <f>IF(RSCH!AL36=0,"",RSCH!AL36)</f>
        <v/>
      </c>
      <c r="AM36" s="21" t="str">
        <f>IF(RSCH!AM36=0,"",RSCH!AM36)</f>
        <v/>
      </c>
      <c r="AN36" s="21" t="str">
        <f>IF(RSCH!AN36=0,"",RSCH!AN36)</f>
        <v/>
      </c>
      <c r="AO36" s="21" t="str">
        <f>IF(RSCH!AO36=0,"",RSCH!AO36)</f>
        <v/>
      </c>
      <c r="AP36" s="21" t="str">
        <f>IF(NOCH!AP36=0,"",NOCH!AP36)</f>
        <v/>
      </c>
      <c r="AQ36" s="21" t="str">
        <f t="shared" si="1"/>
        <v/>
      </c>
      <c r="AR36" s="21" t="str">
        <f>IF(RSCH!AR36=0,"",RSCH!AR36)</f>
        <v/>
      </c>
      <c r="AS36" s="21" t="str">
        <f>IF(RSCH!AS36=0,"",RSCH!AS36)</f>
        <v/>
      </c>
      <c r="AT36" s="22" t="str">
        <f>NOCH!AT36</f>
        <v/>
      </c>
      <c r="AU36" s="20" t="str">
        <f>NOCH!AU36</f>
        <v/>
      </c>
    </row>
    <row r="37" spans="1:47" ht="14.25" hidden="1" customHeight="1" x14ac:dyDescent="0.2">
      <c r="A37" s="28"/>
      <c r="B37" s="29"/>
      <c r="C37" s="30"/>
      <c r="D37" s="30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 t="str">
        <f>IF(RSCH!AJ37=0,"",RSCH!AJ37)</f>
        <v/>
      </c>
      <c r="AK37" s="21" t="str">
        <f>IF(RSCH!AK37=0,"",RSCH!AK37)</f>
        <v/>
      </c>
      <c r="AL37" s="21" t="str">
        <f>IF(RSCH!AL37=0,"",RSCH!AL37)</f>
        <v/>
      </c>
      <c r="AM37" s="21" t="str">
        <f>IF(RSCH!AM37=0,"",RSCH!AM37)</f>
        <v/>
      </c>
      <c r="AN37" s="21" t="str">
        <f>IF(RSCH!AN37=0,"",RSCH!AN37)</f>
        <v/>
      </c>
      <c r="AO37" s="21" t="str">
        <f>IF(RSCH!AO37=0,"",RSCH!AO37)</f>
        <v/>
      </c>
      <c r="AP37" s="21" t="str">
        <f>IF(NOCH!AP37=0,"",NOCH!AP37)</f>
        <v/>
      </c>
      <c r="AQ37" s="21" t="str">
        <f t="shared" si="1"/>
        <v/>
      </c>
      <c r="AR37" s="21" t="str">
        <f>IF(RSCH!AR37=0,"",RSCH!AR37)</f>
        <v/>
      </c>
      <c r="AS37" s="21" t="str">
        <f>IF(RSCH!AS37=0,"",RSCH!AS37)</f>
        <v/>
      </c>
      <c r="AT37" s="22" t="str">
        <f>NOCH!AT37</f>
        <v/>
      </c>
      <c r="AU37" s="20" t="str">
        <f>NOCH!AU37</f>
        <v/>
      </c>
    </row>
    <row r="38" spans="1:47" ht="14.25" hidden="1" customHeight="1" x14ac:dyDescent="0.2">
      <c r="A38" s="28"/>
      <c r="B38" s="29"/>
      <c r="C38" s="30"/>
      <c r="D38" s="30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 t="str">
        <f>IF(RSCH!AJ38=0,"",RSCH!AJ38)</f>
        <v/>
      </c>
      <c r="AK38" s="21" t="str">
        <f>IF(RSCH!AK38=0,"",RSCH!AK38)</f>
        <v/>
      </c>
      <c r="AL38" s="21" t="str">
        <f>IF(RSCH!AL38=0,"",RSCH!AL38)</f>
        <v/>
      </c>
      <c r="AM38" s="21" t="str">
        <f>IF(RSCH!AM38=0,"",RSCH!AM38)</f>
        <v/>
      </c>
      <c r="AN38" s="21" t="str">
        <f>IF(RSCH!AN38=0,"",RSCH!AN38)</f>
        <v/>
      </c>
      <c r="AO38" s="21" t="str">
        <f>IF(RSCH!AO38=0,"",RSCH!AO38)</f>
        <v/>
      </c>
      <c r="AP38" s="21" t="str">
        <f>IF(NOCH!AP38=0,"",NOCH!AP38)</f>
        <v/>
      </c>
      <c r="AQ38" s="21" t="str">
        <f t="shared" si="1"/>
        <v/>
      </c>
      <c r="AR38" s="21" t="str">
        <f>IF(RSCH!AR38=0,"",RSCH!AR38)</f>
        <v/>
      </c>
      <c r="AS38" s="21" t="str">
        <f>IF(RSCH!AS38=0,"",RSCH!AS38)</f>
        <v/>
      </c>
      <c r="AT38" s="22" t="str">
        <f>NOCH!AT38</f>
        <v/>
      </c>
      <c r="AU38" s="20" t="str">
        <f>NOCH!AU38</f>
        <v/>
      </c>
    </row>
    <row r="39" spans="1:47" ht="14.25" hidden="1" customHeight="1" x14ac:dyDescent="0.2">
      <c r="A39" s="28"/>
      <c r="B39" s="29"/>
      <c r="C39" s="29"/>
      <c r="D39" s="3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 t="str">
        <f>IF(RSCH!AJ39=0,"",RSCH!AJ39)</f>
        <v/>
      </c>
      <c r="AK39" s="21" t="str">
        <f>IF(RSCH!AK39=0,"",RSCH!AK39)</f>
        <v/>
      </c>
      <c r="AL39" s="21" t="str">
        <f>IF(RSCH!AL39=0,"",RSCH!AL39)</f>
        <v/>
      </c>
      <c r="AM39" s="21" t="str">
        <f>IF(RSCH!AM39=0,"",RSCH!AM39)</f>
        <v/>
      </c>
      <c r="AN39" s="21" t="str">
        <f>IF(RSCH!AN39=0,"",RSCH!AN39)</f>
        <v/>
      </c>
      <c r="AO39" s="21" t="str">
        <f>IF(RSCH!AO39=0,"",RSCH!AO39)</f>
        <v/>
      </c>
      <c r="AP39" s="21" t="str">
        <f>IF(NOCH!AP39=0,"",NOCH!AP39)</f>
        <v/>
      </c>
      <c r="AQ39" s="21" t="str">
        <f t="shared" si="1"/>
        <v/>
      </c>
      <c r="AR39" s="21" t="str">
        <f>IF(RSCH!AR39=0,"",RSCH!AR39)</f>
        <v/>
      </c>
      <c r="AS39" s="21" t="str">
        <f>IF(RSCH!AS39=0,"",RSCH!AS39)</f>
        <v/>
      </c>
      <c r="AT39" s="22" t="str">
        <f>NOCH!AT39</f>
        <v/>
      </c>
      <c r="AU39" s="20" t="str">
        <f>NOCH!AU39</f>
        <v/>
      </c>
    </row>
    <row r="40" spans="1:47" ht="14.25" customHeight="1" x14ac:dyDescent="0.2">
      <c r="E40" s="33" t="s">
        <v>85</v>
      </c>
      <c r="F40" s="34" t="s">
        <v>86</v>
      </c>
      <c r="G40" s="34" t="s">
        <v>87</v>
      </c>
      <c r="H40" s="34" t="s">
        <v>88</v>
      </c>
      <c r="I40" s="34" t="s">
        <v>89</v>
      </c>
      <c r="J40" s="34" t="s">
        <v>90</v>
      </c>
      <c r="K40" s="33" t="s">
        <v>91</v>
      </c>
      <c r="L40" s="33" t="s">
        <v>85</v>
      </c>
      <c r="M40" s="34" t="s">
        <v>86</v>
      </c>
      <c r="N40" s="34" t="s">
        <v>87</v>
      </c>
      <c r="O40" s="34" t="s">
        <v>88</v>
      </c>
      <c r="P40" s="34" t="s">
        <v>89</v>
      </c>
      <c r="Q40" s="34" t="s">
        <v>90</v>
      </c>
      <c r="R40" s="33" t="s">
        <v>91</v>
      </c>
      <c r="S40" s="33" t="s">
        <v>85</v>
      </c>
      <c r="T40" s="34" t="s">
        <v>86</v>
      </c>
      <c r="U40" s="34" t="s">
        <v>87</v>
      </c>
      <c r="V40" s="34" t="s">
        <v>88</v>
      </c>
      <c r="W40" s="34" t="s">
        <v>89</v>
      </c>
      <c r="X40" s="34" t="s">
        <v>90</v>
      </c>
      <c r="Y40" s="33" t="s">
        <v>91</v>
      </c>
      <c r="Z40" s="33" t="s">
        <v>85</v>
      </c>
      <c r="AA40" s="34" t="s">
        <v>86</v>
      </c>
      <c r="AB40" s="34" t="s">
        <v>87</v>
      </c>
      <c r="AC40" s="34" t="s">
        <v>88</v>
      </c>
      <c r="AD40" s="34" t="s">
        <v>89</v>
      </c>
      <c r="AE40" s="34" t="s">
        <v>90</v>
      </c>
      <c r="AF40" s="33" t="s">
        <v>91</v>
      </c>
      <c r="AG40" s="33" t="s">
        <v>85</v>
      </c>
      <c r="AH40" s="34" t="s">
        <v>86</v>
      </c>
      <c r="AI40" s="34" t="s">
        <v>87</v>
      </c>
      <c r="AM40" s="35" t="s">
        <v>92</v>
      </c>
      <c r="AN40" s="22"/>
      <c r="AO40" s="22"/>
      <c r="AP40" s="22"/>
      <c r="AQ40" s="22"/>
      <c r="AR40" s="22">
        <f>SUM(AR13:AR34)</f>
        <v>89</v>
      </c>
      <c r="AS40" s="22"/>
      <c r="AT40" s="22">
        <f>SUM(AT13:AT34)</f>
        <v>323</v>
      </c>
      <c r="AU40" s="22"/>
    </row>
    <row r="41" spans="1:47" ht="14.25" customHeight="1" x14ac:dyDescent="0.2">
      <c r="A41" s="94" t="s">
        <v>93</v>
      </c>
      <c r="B41" s="85"/>
      <c r="C41" s="85"/>
      <c r="D41" s="36"/>
      <c r="E41" s="36"/>
      <c r="F41" s="37"/>
      <c r="G41" s="37"/>
      <c r="H41" s="37"/>
      <c r="I41" s="36"/>
      <c r="J41" s="36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M41" s="35" t="s">
        <v>94</v>
      </c>
      <c r="AN41" s="38"/>
      <c r="AO41" s="22"/>
      <c r="AP41" s="22"/>
      <c r="AQ41" s="22"/>
      <c r="AR41" s="22"/>
      <c r="AS41" s="22">
        <f>SUM(AS13:AS34)</f>
        <v>697</v>
      </c>
      <c r="AT41" s="22"/>
      <c r="AU41" s="22">
        <f>SUM(AU13:AU34)</f>
        <v>2584</v>
      </c>
    </row>
    <row r="42" spans="1:47" s="2" customFormat="1" ht="12.75" customHeight="1" x14ac:dyDescent="0.2">
      <c r="D42" s="99" t="s">
        <v>95</v>
      </c>
      <c r="E42" s="85"/>
      <c r="F42" s="100" t="s">
        <v>96</v>
      </c>
      <c r="G42" s="82"/>
      <c r="H42" s="82"/>
      <c r="I42" s="82"/>
      <c r="J42" s="89" t="s">
        <v>97</v>
      </c>
      <c r="K42" s="85"/>
      <c r="L42" s="85"/>
      <c r="M42" s="85"/>
      <c r="N42" s="85"/>
      <c r="O42" s="85"/>
      <c r="AL42" s="94"/>
      <c r="AM42" s="85"/>
      <c r="AN42" s="85"/>
      <c r="AO42" s="85"/>
      <c r="AP42" s="85"/>
      <c r="AQ42" s="9"/>
      <c r="AR42" s="9"/>
      <c r="AS42" s="9"/>
      <c r="AT42" s="39"/>
      <c r="AU42" s="40"/>
    </row>
    <row r="43" spans="1:47" ht="14.25" customHeight="1" x14ac:dyDescent="0.2">
      <c r="A43" s="2" t="s">
        <v>98</v>
      </c>
      <c r="E43" s="41" t="s">
        <v>99</v>
      </c>
      <c r="F43" s="41" t="s">
        <v>100</v>
      </c>
      <c r="G43" s="41" t="s">
        <v>100</v>
      </c>
      <c r="H43" s="41" t="s">
        <v>100</v>
      </c>
      <c r="I43" s="41" t="s">
        <v>100</v>
      </c>
      <c r="J43" s="41" t="s">
        <v>100</v>
      </c>
      <c r="K43" s="41" t="s">
        <v>99</v>
      </c>
      <c r="L43" s="41" t="s">
        <v>99</v>
      </c>
      <c r="M43" s="41" t="s">
        <v>100</v>
      </c>
      <c r="N43" s="41" t="s">
        <v>100</v>
      </c>
      <c r="O43" s="41" t="s">
        <v>100</v>
      </c>
      <c r="P43" s="41" t="s">
        <v>100</v>
      </c>
      <c r="Q43" s="41" t="s">
        <v>100</v>
      </c>
      <c r="R43" s="41" t="s">
        <v>99</v>
      </c>
      <c r="S43" s="41" t="s">
        <v>99</v>
      </c>
      <c r="T43" s="41" t="s">
        <v>100</v>
      </c>
      <c r="U43" s="41" t="s">
        <v>100</v>
      </c>
      <c r="V43" s="41" t="s">
        <v>100</v>
      </c>
      <c r="W43" s="41" t="s">
        <v>100</v>
      </c>
      <c r="X43" s="41" t="s">
        <v>100</v>
      </c>
      <c r="Y43" s="41" t="s">
        <v>99</v>
      </c>
      <c r="Z43" s="41" t="s">
        <v>99</v>
      </c>
      <c r="AA43" s="41" t="s">
        <v>99</v>
      </c>
      <c r="AB43" s="41" t="s">
        <v>100</v>
      </c>
      <c r="AC43" s="41" t="s">
        <v>100</v>
      </c>
      <c r="AD43" s="41" t="s">
        <v>100</v>
      </c>
      <c r="AE43" s="41" t="s">
        <v>100</v>
      </c>
      <c r="AF43" s="41" t="s">
        <v>99</v>
      </c>
      <c r="AG43" s="41" t="s">
        <v>102</v>
      </c>
      <c r="AH43" s="41" t="s">
        <v>102</v>
      </c>
      <c r="AI43" s="41" t="s">
        <v>102</v>
      </c>
    </row>
    <row r="44" spans="1:47" ht="14.25" customHeight="1" x14ac:dyDescent="0.2">
      <c r="E44" s="42">
        <v>1</v>
      </c>
      <c r="F44" s="42">
        <v>2</v>
      </c>
      <c r="G44" s="42">
        <v>3</v>
      </c>
      <c r="H44" s="42">
        <v>4</v>
      </c>
      <c r="I44" s="42">
        <v>5</v>
      </c>
      <c r="J44" s="42">
        <v>6</v>
      </c>
      <c r="K44" s="42">
        <v>7</v>
      </c>
      <c r="L44" s="42">
        <v>8</v>
      </c>
      <c r="M44" s="42">
        <v>9</v>
      </c>
      <c r="N44" s="42">
        <v>10</v>
      </c>
      <c r="O44" s="42">
        <v>11</v>
      </c>
      <c r="P44" s="42">
        <v>12</v>
      </c>
      <c r="Q44" s="42">
        <v>13</v>
      </c>
      <c r="R44" s="42">
        <v>14</v>
      </c>
      <c r="S44" s="42">
        <v>15</v>
      </c>
      <c r="T44" s="42">
        <v>16</v>
      </c>
      <c r="U44" s="42">
        <v>17</v>
      </c>
      <c r="V44" s="42">
        <v>18</v>
      </c>
      <c r="W44" s="42">
        <v>19</v>
      </c>
      <c r="X44" s="42">
        <v>20</v>
      </c>
      <c r="Y44" s="42">
        <v>21</v>
      </c>
      <c r="Z44" s="42">
        <v>22</v>
      </c>
      <c r="AA44" s="42">
        <v>23</v>
      </c>
      <c r="AB44" s="42">
        <v>24</v>
      </c>
      <c r="AC44" s="42">
        <v>25</v>
      </c>
      <c r="AD44" s="42">
        <v>26</v>
      </c>
      <c r="AE44" s="42">
        <v>27</v>
      </c>
      <c r="AF44" s="42">
        <v>28</v>
      </c>
      <c r="AG44" s="42">
        <v>29</v>
      </c>
      <c r="AH44" s="42">
        <v>30</v>
      </c>
      <c r="AI44" s="42">
        <v>31</v>
      </c>
    </row>
    <row r="45" spans="1:47" ht="12.75" hidden="1" customHeight="1" x14ac:dyDescent="0.2"/>
    <row r="46" spans="1:47" ht="14.25" hidden="1" customHeight="1" x14ac:dyDescent="0.2">
      <c r="E46" s="42">
        <v>8</v>
      </c>
      <c r="F46" s="42">
        <v>7</v>
      </c>
      <c r="G46" s="42">
        <v>4</v>
      </c>
      <c r="H46" s="42">
        <v>12</v>
      </c>
      <c r="I46" s="42" t="s">
        <v>103</v>
      </c>
      <c r="J46" s="42" t="s">
        <v>104</v>
      </c>
      <c r="K46" s="42" t="s">
        <v>105</v>
      </c>
      <c r="L46" s="42" t="s">
        <v>106</v>
      </c>
      <c r="M46" s="42" t="s">
        <v>107</v>
      </c>
      <c r="N46" s="42" t="s">
        <v>108</v>
      </c>
      <c r="O46" s="42" t="s">
        <v>109</v>
      </c>
      <c r="P46" s="42">
        <v>11</v>
      </c>
      <c r="Q46" s="42" t="s">
        <v>110</v>
      </c>
      <c r="R46" s="42" t="s">
        <v>111</v>
      </c>
      <c r="S46" s="42" t="s">
        <v>112</v>
      </c>
      <c r="T46" s="42" t="s">
        <v>102</v>
      </c>
      <c r="U46" s="42">
        <v>6</v>
      </c>
      <c r="V46" s="42">
        <v>5</v>
      </c>
      <c r="W46" s="42">
        <v>3</v>
      </c>
      <c r="X46" s="42">
        <v>2</v>
      </c>
      <c r="Y46" s="42">
        <v>1</v>
      </c>
      <c r="Z46" s="42">
        <v>9</v>
      </c>
      <c r="AA46" s="42">
        <v>10</v>
      </c>
      <c r="AB46" s="42">
        <v>11</v>
      </c>
      <c r="AF46" s="43" t="s">
        <v>102</v>
      </c>
      <c r="AG46" s="44" t="s">
        <v>101</v>
      </c>
      <c r="AH46" s="45" t="s">
        <v>99</v>
      </c>
      <c r="AI46" s="44" t="s">
        <v>100</v>
      </c>
    </row>
    <row r="47" spans="1:47" ht="13.5" hidden="1" customHeight="1" x14ac:dyDescent="0.2"/>
    <row r="48" spans="1:47" ht="12.75" hidden="1" customHeight="1" x14ac:dyDescent="0.2">
      <c r="C48" s="2" t="s">
        <v>113</v>
      </c>
    </row>
    <row r="49" spans="3:3" ht="13.5" hidden="1" customHeight="1" x14ac:dyDescent="0.2">
      <c r="C49" s="2" t="s">
        <v>114</v>
      </c>
    </row>
    <row r="50" spans="3:3" ht="12.75" hidden="1" customHeight="1" x14ac:dyDescent="0.2">
      <c r="C50" s="2" t="s">
        <v>115</v>
      </c>
    </row>
    <row r="51" spans="3:3" ht="12.75" hidden="1" customHeight="1" x14ac:dyDescent="0.2">
      <c r="C51" s="2" t="s">
        <v>116</v>
      </c>
    </row>
    <row r="52" spans="3:3" ht="12.75" hidden="1" customHeight="1" x14ac:dyDescent="0.2">
      <c r="C52" s="2" t="s">
        <v>117</v>
      </c>
    </row>
    <row r="53" spans="3:3" ht="12.75" hidden="1" customHeight="1" x14ac:dyDescent="0.2">
      <c r="C53" s="2" t="s">
        <v>118</v>
      </c>
    </row>
    <row r="54" spans="3:3" ht="12.75" hidden="1" customHeight="1" x14ac:dyDescent="0.2">
      <c r="C54" s="2" t="s">
        <v>119</v>
      </c>
    </row>
    <row r="55" spans="3:3" ht="12.75" hidden="1" customHeight="1" x14ac:dyDescent="0.2">
      <c r="C55" s="2" t="s">
        <v>120</v>
      </c>
    </row>
    <row r="56" spans="3:3" ht="12.75" hidden="1" customHeight="1" x14ac:dyDescent="0.2">
      <c r="C56" s="2" t="s">
        <v>121</v>
      </c>
    </row>
    <row r="57" spans="3:3" ht="12.75" hidden="1" customHeight="1" x14ac:dyDescent="0.2">
      <c r="C57" s="2" t="s">
        <v>122</v>
      </c>
    </row>
    <row r="58" spans="3:3" ht="12.75" hidden="1" customHeight="1" x14ac:dyDescent="0.2">
      <c r="C58" s="2" t="s">
        <v>123</v>
      </c>
    </row>
    <row r="59" spans="3:3" ht="12.75" hidden="1" customHeight="1" x14ac:dyDescent="0.2">
      <c r="C59" s="2" t="s">
        <v>124</v>
      </c>
    </row>
    <row r="60" spans="3:3" ht="13.5" hidden="1" customHeight="1" x14ac:dyDescent="0.2"/>
    <row r="61" spans="3:3" ht="13.5" customHeight="1" x14ac:dyDescent="0.2"/>
    <row r="1048573" ht="12.75" customHeight="1" x14ac:dyDescent="0.2"/>
  </sheetData>
  <mergeCells count="26">
    <mergeCell ref="AL42:AP42"/>
    <mergeCell ref="E11:AI11"/>
    <mergeCell ref="B12:D12"/>
    <mergeCell ref="B30:D30"/>
    <mergeCell ref="A41:C41"/>
    <mergeCell ref="D42:E42"/>
    <mergeCell ref="F42:I42"/>
    <mergeCell ref="J42:O42"/>
    <mergeCell ref="A5:AT5"/>
    <mergeCell ref="AU5:AU6"/>
    <mergeCell ref="A6:AT6"/>
    <mergeCell ref="A7:AT7"/>
    <mergeCell ref="A8:A10"/>
    <mergeCell ref="B8:B10"/>
    <mergeCell ref="C8:C10"/>
    <mergeCell ref="D8:D10"/>
    <mergeCell ref="E8:AI8"/>
    <mergeCell ref="AJ8:AU8"/>
    <mergeCell ref="AJ9:AQ9"/>
    <mergeCell ref="AR9:AS9"/>
    <mergeCell ref="AT9:AU9"/>
    <mergeCell ref="C1:T1"/>
    <mergeCell ref="C2:T2"/>
    <mergeCell ref="C3:T3"/>
    <mergeCell ref="X3:AF3"/>
    <mergeCell ref="C4:U4"/>
  </mergeCells>
  <conditionalFormatting sqref="E12:AI39 E43:AI43">
    <cfRule type="expression" dxfId="4" priority="1">
      <formula>E$43="х"</formula>
    </cfRule>
    <cfRule type="expression" dxfId="7" priority="2">
      <formula>E$43="Р*"</formula>
    </cfRule>
    <cfRule type="expression" dxfId="6" priority="3">
      <formula>E$43="Р"</formula>
    </cfRule>
    <cfRule type="expression" dxfId="5" priority="4">
      <formula>E$43="В"</formula>
    </cfRule>
  </conditionalFormatting>
  <dataValidations count="4">
    <dataValidation type="list" sqref="E43:AI43" xr:uid="{00A60094-00DF-4D38-A384-00DF003800B4}">
      <formula1>$AF$46:$AI$46</formula1>
    </dataValidation>
    <dataValidation type="list" sqref="E43:AI43" xr:uid="{00DE0080-0083-49F8-9D1E-0072007E004B}">
      <formula1>$AF$48:$AI$48</formula1>
    </dataValidation>
    <dataValidation type="list" allowBlank="1" sqref="E43:AI43" xr:uid="{00D40069-0013-4EC5-8CE9-00C600B0002F}">
      <formula1>$AF$48:$AI$48</formula1>
    </dataValidation>
    <dataValidation type="list" allowBlank="1" showInputMessage="1" showErrorMessage="1" sqref="E13:AI39" xr:uid="{000300A5-009F-40C5-84AF-0017003900BC}">
      <formula1>$E$46:$AB$46</formula1>
    </dataValidation>
  </dataValidations>
  <pageMargins left="0.66805555555555562" right="0.25902777777777808" top="0.39375000000000004" bottom="0.39375000000000004" header="0.51181102362204689" footer="0.51181102362204689"/>
  <pageSetup paperSize="9" scale="72" orientation="landscape" horizontalDpi="300" verticalDpi="300"/>
  <ignoredErrors>
    <ignoredError sqref="E9:AI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"/>
    <pageSetUpPr fitToPage="1"/>
  </sheetPr>
  <dimension ref="A1:AMJ1048572"/>
  <sheetViews>
    <sheetView showGridLines="0" topLeftCell="A8" workbookViewId="0">
      <selection activeCell="AF13" sqref="AF13"/>
    </sheetView>
  </sheetViews>
  <sheetFormatPr defaultColWidth="11.5703125" defaultRowHeight="12" x14ac:dyDescent="0.2"/>
  <cols>
    <col min="1" max="1" width="3.28515625" style="2" customWidth="1"/>
    <col min="2" max="2" width="6.28515625" style="2" customWidth="1"/>
    <col min="3" max="3" width="13.28515625" style="2" customWidth="1"/>
    <col min="4" max="4" width="10.42578125" style="2" customWidth="1"/>
    <col min="5" max="35" width="3.5703125" style="2" customWidth="1"/>
    <col min="36" max="47" width="4.7109375" style="2" customWidth="1"/>
    <col min="48" max="64" width="8.42578125" style="2" customWidth="1"/>
    <col min="65" max="1024" width="11.5703125" style="2" customWidth="1"/>
    <col min="1025" max="1025" width="11.5703125" style="1" customWidth="1"/>
    <col min="1026" max="16384" width="11.5703125" style="1"/>
  </cols>
  <sheetData>
    <row r="1" spans="1:51" ht="14.25" hidden="1" customHeight="1" x14ac:dyDescent="0.2">
      <c r="C1" s="79" t="s">
        <v>0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4"/>
      <c r="V1" s="4"/>
      <c r="W1" s="4"/>
      <c r="X1" s="5"/>
      <c r="AU1" s="4" t="s">
        <v>1</v>
      </c>
    </row>
    <row r="2" spans="1:51" ht="12.75" hidden="1" customHeight="1" x14ac:dyDescent="0.2">
      <c r="C2" s="81" t="s">
        <v>2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X2" s="5"/>
      <c r="AU2" s="4" t="s">
        <v>3</v>
      </c>
    </row>
    <row r="3" spans="1:51" ht="14.25" hidden="1" customHeight="1" x14ac:dyDescent="0.2">
      <c r="C3" s="83" t="s">
        <v>4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7"/>
      <c r="V3" s="7"/>
      <c r="X3" s="84" t="s">
        <v>5</v>
      </c>
      <c r="Y3" s="85"/>
      <c r="Z3" s="85"/>
      <c r="AA3" s="85"/>
      <c r="AB3" s="85"/>
      <c r="AC3" s="85"/>
      <c r="AD3" s="85"/>
      <c r="AE3" s="85"/>
      <c r="AF3" s="85"/>
      <c r="AN3" s="8"/>
      <c r="AU3" s="4" t="s">
        <v>6</v>
      </c>
    </row>
    <row r="4" spans="1:51" ht="8.25" hidden="1" customHeight="1" x14ac:dyDescent="0.2">
      <c r="C4" s="81" t="s">
        <v>7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9"/>
      <c r="W4" s="9"/>
      <c r="AN4" s="9"/>
      <c r="AO4" s="9"/>
    </row>
    <row r="5" spans="1:51" ht="14.25" customHeight="1" x14ac:dyDescent="0.2">
      <c r="A5" s="86" t="s">
        <v>8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7">
        <v>14</v>
      </c>
    </row>
    <row r="6" spans="1:51" ht="10.5" customHeight="1" x14ac:dyDescent="0.2">
      <c r="A6" s="86" t="s">
        <v>9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8"/>
    </row>
    <row r="7" spans="1:51" ht="14.25" customHeight="1" x14ac:dyDescent="0.2">
      <c r="A7" s="89" t="str">
        <f>CONCATENATE("за ",данные!A1," месяц ",данные!B1)</f>
        <v>за февраль месяц  2026 года.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11"/>
    </row>
    <row r="8" spans="1:51" ht="15" customHeight="1" x14ac:dyDescent="0.2">
      <c r="A8" s="90" t="s">
        <v>10</v>
      </c>
      <c r="B8" s="90" t="s">
        <v>11</v>
      </c>
      <c r="C8" s="90" t="s">
        <v>12</v>
      </c>
      <c r="D8" s="90" t="s">
        <v>13</v>
      </c>
      <c r="E8" s="90" t="s">
        <v>14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3"/>
      <c r="AJ8" s="90" t="s">
        <v>15</v>
      </c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3"/>
      <c r="AV8" s="13"/>
      <c r="AW8" s="13"/>
      <c r="AX8" s="13"/>
      <c r="AY8" s="13"/>
    </row>
    <row r="9" spans="1:51" ht="12.75" customHeight="1" x14ac:dyDescent="0.2">
      <c r="A9" s="91"/>
      <c r="B9" s="91"/>
      <c r="C9" s="91"/>
      <c r="D9" s="91"/>
      <c r="E9" s="15" t="s">
        <v>16</v>
      </c>
      <c r="F9" s="15" t="s">
        <v>17</v>
      </c>
      <c r="G9" s="15" t="s">
        <v>18</v>
      </c>
      <c r="H9" s="15" t="s">
        <v>19</v>
      </c>
      <c r="I9" s="15" t="s">
        <v>20</v>
      </c>
      <c r="J9" s="15" t="s">
        <v>21</v>
      </c>
      <c r="K9" s="15" t="s">
        <v>22</v>
      </c>
      <c r="L9" s="15" t="s">
        <v>23</v>
      </c>
      <c r="M9" s="15" t="s">
        <v>24</v>
      </c>
      <c r="N9" s="15" t="s">
        <v>25</v>
      </c>
      <c r="O9" s="15" t="s">
        <v>26</v>
      </c>
      <c r="P9" s="15" t="s">
        <v>27</v>
      </c>
      <c r="Q9" s="15" t="s">
        <v>28</v>
      </c>
      <c r="R9" s="15" t="s">
        <v>29</v>
      </c>
      <c r="S9" s="15" t="s">
        <v>30</v>
      </c>
      <c r="T9" s="15" t="s">
        <v>31</v>
      </c>
      <c r="U9" s="15" t="s">
        <v>32</v>
      </c>
      <c r="V9" s="15" t="s">
        <v>33</v>
      </c>
      <c r="W9" s="15" t="s">
        <v>34</v>
      </c>
      <c r="X9" s="15" t="s">
        <v>35</v>
      </c>
      <c r="Y9" s="15" t="s">
        <v>36</v>
      </c>
      <c r="Z9" s="15" t="s">
        <v>37</v>
      </c>
      <c r="AA9" s="15" t="s">
        <v>38</v>
      </c>
      <c r="AB9" s="15" t="s">
        <v>39</v>
      </c>
      <c r="AC9" s="15" t="s">
        <v>40</v>
      </c>
      <c r="AD9" s="15" t="s">
        <v>41</v>
      </c>
      <c r="AE9" s="15" t="s">
        <v>42</v>
      </c>
      <c r="AF9" s="15" t="s">
        <v>43</v>
      </c>
      <c r="AG9" s="15" t="s">
        <v>44</v>
      </c>
      <c r="AH9" s="15" t="s">
        <v>45</v>
      </c>
      <c r="AI9" s="15" t="s">
        <v>46</v>
      </c>
      <c r="AJ9" s="90" t="s">
        <v>47</v>
      </c>
      <c r="AK9" s="92"/>
      <c r="AL9" s="92"/>
      <c r="AM9" s="92"/>
      <c r="AN9" s="92"/>
      <c r="AO9" s="92"/>
      <c r="AP9" s="92"/>
      <c r="AQ9" s="93"/>
      <c r="AR9" s="90" t="s">
        <v>48</v>
      </c>
      <c r="AS9" s="93"/>
      <c r="AT9" s="90" t="s">
        <v>49</v>
      </c>
      <c r="AU9" s="93"/>
    </row>
    <row r="10" spans="1:51" ht="44.25" customHeight="1" x14ac:dyDescent="0.2">
      <c r="A10" s="88"/>
      <c r="B10" s="88"/>
      <c r="C10" s="88"/>
      <c r="D10" s="88"/>
      <c r="E10" s="15"/>
      <c r="F10" s="15"/>
      <c r="G10" s="15"/>
      <c r="H10" s="15"/>
      <c r="I10" s="15"/>
      <c r="J10" s="16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7"/>
      <c r="AJ10" s="15" t="s">
        <v>50</v>
      </c>
      <c r="AK10" s="15" t="s">
        <v>51</v>
      </c>
      <c r="AL10" s="12" t="s">
        <v>52</v>
      </c>
      <c r="AM10" s="12" t="s">
        <v>53</v>
      </c>
      <c r="AN10" s="12" t="s">
        <v>54</v>
      </c>
      <c r="AO10" s="12" t="s">
        <v>55</v>
      </c>
      <c r="AP10" s="12" t="s">
        <v>56</v>
      </c>
      <c r="AQ10" s="12" t="s">
        <v>57</v>
      </c>
      <c r="AR10" s="12" t="s">
        <v>58</v>
      </c>
      <c r="AS10" s="12" t="s">
        <v>59</v>
      </c>
      <c r="AT10" s="12" t="s">
        <v>58</v>
      </c>
      <c r="AU10" s="12" t="s">
        <v>59</v>
      </c>
    </row>
    <row r="11" spans="1:51" ht="11.25" customHeight="1" x14ac:dyDescent="0.2">
      <c r="A11" s="18">
        <v>1</v>
      </c>
      <c r="B11" s="18"/>
      <c r="C11" s="18">
        <v>2</v>
      </c>
      <c r="D11" s="18">
        <v>3</v>
      </c>
      <c r="E11" s="95">
        <v>4</v>
      </c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3"/>
      <c r="AJ11" s="18">
        <v>5</v>
      </c>
      <c r="AK11" s="18">
        <v>6</v>
      </c>
      <c r="AL11" s="18">
        <v>7</v>
      </c>
      <c r="AM11" s="18">
        <v>8</v>
      </c>
      <c r="AN11" s="18">
        <v>9</v>
      </c>
      <c r="AO11" s="18">
        <v>10</v>
      </c>
      <c r="AP11" s="18">
        <v>11</v>
      </c>
      <c r="AQ11" s="18">
        <v>12</v>
      </c>
      <c r="AR11" s="18">
        <v>13</v>
      </c>
      <c r="AS11" s="18">
        <v>14</v>
      </c>
      <c r="AT11" s="18">
        <v>15</v>
      </c>
      <c r="AU11" s="18">
        <v>16</v>
      </c>
    </row>
    <row r="12" spans="1:51" ht="14.25" customHeight="1" x14ac:dyDescent="0.2">
      <c r="A12" s="19"/>
      <c r="B12" s="101" t="s">
        <v>60</v>
      </c>
      <c r="C12" s="92"/>
      <c r="D12" s="93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0"/>
      <c r="AM12" s="20"/>
      <c r="AN12" s="20"/>
      <c r="AO12" s="20"/>
      <c r="AP12" s="20"/>
      <c r="AQ12" s="22"/>
      <c r="AR12" s="20"/>
      <c r="AS12" s="20"/>
      <c r="AT12" s="22"/>
      <c r="AU12" s="22"/>
    </row>
    <row r="13" spans="1:51" ht="14.25" customHeight="1" x14ac:dyDescent="0.2">
      <c r="A13" s="23">
        <v>1</v>
      </c>
      <c r="B13" s="23">
        <v>83727</v>
      </c>
      <c r="C13" s="24" t="s">
        <v>61</v>
      </c>
      <c r="D13" s="24" t="s">
        <v>62</v>
      </c>
      <c r="E13" s="21" t="str">
        <f>IF(OR(Main!E13="",Main!E13=0),"",INDEX($E$46:$AB$47,2,MATCH(Main!E13,$E$46:$AB$46,0)))</f>
        <v/>
      </c>
      <c r="F13" s="21">
        <f>IF(OR(Main!F13="",Main!F13=0),"",INDEX($E$46:$AB$47,2,MATCH(Main!F13,$E$46:$AB$46,0)))</f>
        <v>8</v>
      </c>
      <c r="G13" s="21">
        <f>IF(OR(Main!G13="",Main!G13=0),"",INDEX($E$46:$AB$47,2,MATCH(Main!G13,$E$46:$AB$46,0)))</f>
        <v>4</v>
      </c>
      <c r="H13" s="21">
        <f>IF(OR(Main!H13="",Main!H13=0,Main!E13="А"),"",INDEX($E$46:$AB$47,2,MATCH(Main!H13,$E$46:$AB$46,0)))</f>
        <v>0</v>
      </c>
      <c r="I13" s="21">
        <f>IF(OR(Main!I13="",Main!I13=0),"",INDEX($E$46:$AB$47,2,MATCH(Main!I13,$E$46:$AB$46,0)))</f>
        <v>8</v>
      </c>
      <c r="J13" s="21">
        <f>IF(OR(Main!J13="",Main!J13=0),"",INDEX($E$46:$AB$47,2,MATCH(Main!J13,$E$46:$AB$46,0)))</f>
        <v>8</v>
      </c>
      <c r="K13" s="21">
        <f>IF(OR(Main!K13="",Main!K13=0),"",INDEX($E$46:$AB$47,2,MATCH(Main!K13,$E$46:$AB$46,0)))</f>
        <v>7</v>
      </c>
      <c r="L13" s="21">
        <f>IF(OR(Main!L13="",Main!L13=0),"",INDEX($E$46:$AB$47,2,MATCH(Main!L13,$E$46:$AB$46,0)))</f>
        <v>7</v>
      </c>
      <c r="M13" s="21" t="str">
        <f>IF(OR(Main!M13="",Main!M13=0),"",INDEX($E$46:$AB$47,2,MATCH(Main!M13,$E$46:$AB$46,0)))</f>
        <v/>
      </c>
      <c r="N13" s="21" t="str">
        <f>IF(OR(Main!N13="",Main!N13=0),"",INDEX($E$46:$AB$47,2,MATCH(Main!N13,$E$46:$AB$46,0)))</f>
        <v/>
      </c>
      <c r="O13" s="21" t="str">
        <f>IF(OR(Main!O13="",Main!O13=0),"",INDEX($E$46:$AB$47,2,MATCH(Main!O13,$E$46:$AB$46,0)))</f>
        <v/>
      </c>
      <c r="P13" s="21" t="str">
        <f>IF(OR(Main!P13="",Main!P13=0),"",INDEX($E$46:$AB$47,2,MATCH(Main!P13,$E$46:$AB$46,0)))</f>
        <v/>
      </c>
      <c r="Q13" s="21" t="str">
        <f>IF(OR(Main!Q13="",Main!Q13=0),"",INDEX($E$46:$AB$47,2,MATCH(Main!Q13,$E$46:$AB$46,0)))</f>
        <v/>
      </c>
      <c r="R13" s="21" t="str">
        <f>IF(OR(Main!R13="",Main!R13=0),"",INDEX($E$46:$AB$47,2,MATCH(Main!R13,$E$46:$AB$46,0)))</f>
        <v/>
      </c>
      <c r="S13" s="21" t="str">
        <f>IF(OR(Main!S13="",Main!S13=0),"",INDEX($E$46:$AB$47,2,MATCH(Main!S13,$E$46:$AB$46,0)))</f>
        <v/>
      </c>
      <c r="T13" s="21" t="str">
        <f>IF(OR(Main!T13="",Main!T13=0),"",INDEX($E$46:$AB$47,2,MATCH(Main!T13,$E$46:$AB$46,0)))</f>
        <v/>
      </c>
      <c r="U13" s="21" t="str">
        <f>IF(OR(Main!U13="",Main!U13=0),"",INDEX($E$46:$AB$47,2,MATCH(Main!U13,$E$46:$AB$46,0)))</f>
        <v/>
      </c>
      <c r="V13" s="21" t="str">
        <f>IF(OR(Main!V13="",Main!V13=0),"",INDEX($E$46:$AB$47,2,MATCH(Main!V13,$E$46:$AB$46,0)))</f>
        <v/>
      </c>
      <c r="W13" s="21" t="str">
        <f>IF(OR(Main!W13="",Main!W13=0),"",INDEX($E$46:$AB$47,2,MATCH(Main!W13,$E$46:$AB$46,0)))</f>
        <v/>
      </c>
      <c r="X13" s="21" t="str">
        <f>IF(OR(Main!X13="",Main!X13=0),"",INDEX($E$46:$AB$47,2,MATCH(Main!X13,$E$46:$AB$46,0)))</f>
        <v/>
      </c>
      <c r="Y13" s="21" t="str">
        <f>IF(OR(Main!Y13="",Main!Y13=0),"",INDEX($E$46:$AB$47,2,MATCH(Main!Y13,$E$46:$AB$46,0)))</f>
        <v/>
      </c>
      <c r="Z13" s="21" t="str">
        <f>IF(OR(Main!Z13="",Main!Z13=0),"",INDEX($E$46:$AB$47,2,MATCH(Main!Z13,$E$46:$AB$46,0)))</f>
        <v/>
      </c>
      <c r="AA13" s="21" t="str">
        <f>IF(OR(Main!AA13="",Main!AA13=0),"",INDEX($E$46:$AB$47,2,MATCH(Main!AA13,$E$46:$AB$46,0)))</f>
        <v/>
      </c>
      <c r="AB13" s="21" t="str">
        <f>IF(OR(Main!AB13="",Main!AB13=0),"",INDEX($E$46:$AB$47,2,MATCH(Main!AB13,$E$46:$AB$46,0)))</f>
        <v/>
      </c>
      <c r="AC13" s="21" t="str">
        <f>IF(OR(Main!AC13="",Main!AC13=0),"",INDEX($E$46:$AB$47,2,MATCH(Main!AC13,$E$46:$AB$46,0)))</f>
        <v/>
      </c>
      <c r="AD13" s="21" t="str">
        <f>IF(OR(Main!AD13="",Main!AD13=0),"",INDEX($E$46:$AB$47,2,MATCH(Main!AD13,$E$46:$AB$46,0)))</f>
        <v/>
      </c>
      <c r="AE13" s="21" t="str">
        <f>IF(OR(Main!AE13="",Main!AE13=0),"",INDEX($E$46:$AB$47,2,MATCH(Main!AE13,$E$46:$AB$46,0)))</f>
        <v/>
      </c>
      <c r="AF13" s="21" t="str">
        <f>IF(OR(Main!AF13="",Main!AF13=0),"",INDEX($E$46:$AB$47,2,MATCH(Main!AF13,$E$46:$AB$46,0)))</f>
        <v/>
      </c>
      <c r="AG13" s="21" t="str">
        <f>IF(OR(Main!AG13="",Main!AG13=0),"",INDEX($E$46:$AB$47,2,MATCH(Main!AG13,$E$46:$AB$46,0)))</f>
        <v/>
      </c>
      <c r="AH13" s="21" t="str">
        <f>IF(OR(Main!AH13="",Main!AH13=0),"",INDEX($E$46:$AB$47,2,MATCH(Main!AH13,$E$46:$AB$46,0)))</f>
        <v/>
      </c>
      <c r="AI13" s="21" t="str">
        <f>IF(OR(Main!AI13="",Main!AI13=0),"",INDEX($E$46:$AB$47,2,MATCH(Main!AI13,$E$46:$AB$46,0)))</f>
        <v/>
      </c>
      <c r="AJ13" s="21">
        <f>COUNTIF(Main!E13:'Main'!AI13,"К")</f>
        <v>0</v>
      </c>
      <c r="AK13" s="21">
        <f>COUNTIF(Main!E13:'Main'!AI13,"П")</f>
        <v>0</v>
      </c>
      <c r="AL13" s="20">
        <f>COUNTIF(Main!E13:'Main'!AI13,"Б")</f>
        <v>0</v>
      </c>
      <c r="AM13" s="20">
        <f>COUNTIF(Main!E13:'Main'!AI13,"О")</f>
        <v>0</v>
      </c>
      <c r="AN13" s="20">
        <f>COUNTIF(Main!E13:'Main'!AI13,"АО")</f>
        <v>0</v>
      </c>
      <c r="AO13" s="46">
        <f>SUMIF($E$43:$AI$43,"В",Main!E13:'Main'!AI13)</f>
        <v>14</v>
      </c>
      <c r="AP13" s="20"/>
      <c r="AQ13" s="22"/>
      <c r="AR13" s="20">
        <f>COUNTIF(E13:AI13,"&gt;0")</f>
        <v>6</v>
      </c>
      <c r="AS13" s="46">
        <f>SUM(E13:AI13)</f>
        <v>42</v>
      </c>
      <c r="AT13" s="22">
        <v>19</v>
      </c>
      <c r="AU13" s="20">
        <v>152</v>
      </c>
    </row>
    <row r="14" spans="1:51" ht="14.25" customHeight="1" x14ac:dyDescent="0.2">
      <c r="A14" s="23">
        <v>2</v>
      </c>
      <c r="B14" s="23">
        <v>89046</v>
      </c>
      <c r="C14" s="24" t="s">
        <v>63</v>
      </c>
      <c r="D14" s="24" t="s">
        <v>62</v>
      </c>
      <c r="E14" s="21" t="str">
        <f>IF(Main!E14="","",INDEX($E$46:$AB$47,2,MATCH(Main!E14,$E$46:$AB$46,0)))</f>
        <v/>
      </c>
      <c r="F14" s="21">
        <f>IF(Main!F14="","",INDEX($E$46:$AB$47,2,MATCH(Main!F14,$E$46:$AB$46,0)))</f>
        <v>8</v>
      </c>
      <c r="G14" s="21">
        <f>IF(Main!G14="","",INDEX($E$46:$AB$47,2,MATCH(Main!G14,$E$46:$AB$46,0)))</f>
        <v>8</v>
      </c>
      <c r="H14" s="21">
        <f>IF(Main!H14="","",INDEX($E$46:$AB$47,2,MATCH(Main!H14,$E$46:$AB$46,0)))</f>
        <v>8</v>
      </c>
      <c r="I14" s="21">
        <f>IF(Main!I14="","",INDEX($E$46:$AB$47,2,MATCH(Main!I14,$E$46:$AB$46,0)))</f>
        <v>8</v>
      </c>
      <c r="J14" s="21">
        <f>IF(Main!J14="","",INDEX($E$46:$AB$47,2,MATCH(Main!J14,$E$46:$AB$46,0)))</f>
        <v>8</v>
      </c>
      <c r="K14" s="21">
        <f>IF(Main!K14="","",INDEX($E$46:$AB$47,2,MATCH(Main!K14,$E$46:$AB$46,0)))</f>
        <v>7</v>
      </c>
      <c r="L14" s="21" t="str">
        <f>IF(Main!L14="","",INDEX($E$46:$AB$47,2,MATCH(Main!L14,$E$46:$AB$46,0)))</f>
        <v/>
      </c>
      <c r="M14" s="21" t="str">
        <f>IF(Main!M14="","",INDEX($E$46:$AB$47,2,MATCH(Main!M14,$E$46:$AB$46,0)))</f>
        <v/>
      </c>
      <c r="N14" s="21" t="str">
        <f>IF(Main!N14="","",INDEX($E$46:$AB$47,2,MATCH(Main!N14,$E$46:$AB$46,0)))</f>
        <v/>
      </c>
      <c r="O14" s="21" t="str">
        <f>IF(Main!O14="","",INDEX($E$46:$AB$47,2,MATCH(Main!O14,$E$46:$AB$46,0)))</f>
        <v/>
      </c>
      <c r="P14" s="21" t="str">
        <f>IF(Main!P14="","",INDEX($E$46:$AB$47,2,MATCH(Main!P14,$E$46:$AB$46,0)))</f>
        <v/>
      </c>
      <c r="Q14" s="21" t="str">
        <f>IF(Main!Q14="","",INDEX($E$46:$AB$47,2,MATCH(Main!Q14,$E$46:$AB$46,0)))</f>
        <v/>
      </c>
      <c r="R14" s="21" t="str">
        <f>IF(Main!R14="","",INDEX($E$46:$AB$47,2,MATCH(Main!R14,$E$46:$AB$46,0)))</f>
        <v/>
      </c>
      <c r="S14" s="21" t="str">
        <f>IF(Main!S14="","",INDEX($E$46:$AB$47,2,MATCH(Main!S14,$E$46:$AB$46,0)))</f>
        <v/>
      </c>
      <c r="T14" s="21" t="str">
        <f>IF(Main!T14="","",INDEX($E$46:$AB$47,2,MATCH(Main!T14,$E$46:$AB$46,0)))</f>
        <v/>
      </c>
      <c r="U14" s="21" t="str">
        <f>IF(Main!U14="","",INDEX($E$46:$AB$47,2,MATCH(Main!U14,$E$46:$AB$46,0)))</f>
        <v/>
      </c>
      <c r="V14" s="21" t="str">
        <f>IF(Main!V14="","",INDEX($E$46:$AB$47,2,MATCH(Main!V14,$E$46:$AB$46,0)))</f>
        <v/>
      </c>
      <c r="W14" s="21" t="str">
        <f>IF(Main!W14="","",INDEX($E$46:$AB$47,2,MATCH(Main!W14,$E$46:$AB$46,0)))</f>
        <v/>
      </c>
      <c r="X14" s="21" t="str">
        <f>IF(Main!X14="","",INDEX($E$46:$AB$47,2,MATCH(Main!X14,$E$46:$AB$46,0)))</f>
        <v/>
      </c>
      <c r="Y14" s="21" t="str">
        <f>IF(Main!Y14="","",INDEX($E$46:$AB$47,2,MATCH(Main!Y14,$E$46:$AB$46,0)))</f>
        <v/>
      </c>
      <c r="Z14" s="21" t="str">
        <f>IF(Main!Z14="","",INDEX($E$46:$AB$47,2,MATCH(Main!Z14,$E$46:$AB$46,0)))</f>
        <v/>
      </c>
      <c r="AA14" s="21" t="str">
        <f>IF(Main!AA14="","",INDEX($E$46:$AB$47,2,MATCH(Main!AA14,$E$46:$AB$46,0)))</f>
        <v/>
      </c>
      <c r="AB14" s="21" t="str">
        <f>IF(Main!AB14="","",INDEX($E$46:$AB$47,2,MATCH(Main!AB14,$E$46:$AB$46,0)))</f>
        <v/>
      </c>
      <c r="AC14" s="21" t="str">
        <f>IF(Main!AC14="","",INDEX($E$46:$AB$47,2,MATCH(Main!AC14,$E$46:$AB$46,0)))</f>
        <v/>
      </c>
      <c r="AD14" s="21" t="str">
        <f>IF(Main!AD14="","",INDEX($E$46:$AB$47,2,MATCH(Main!AD14,$E$46:$AB$46,0)))</f>
        <v/>
      </c>
      <c r="AE14" s="21" t="str">
        <f>IF(Main!AE14="","",INDEX($E$46:$AB$47,2,MATCH(Main!AE14,$E$46:$AB$46,0)))</f>
        <v/>
      </c>
      <c r="AF14" s="21" t="str">
        <f>IF(Main!AF14="","",INDEX($E$46:$AB$47,2,MATCH(Main!AF14,$E$46:$AB$46,0)))</f>
        <v/>
      </c>
      <c r="AG14" s="21" t="str">
        <f>IF(Main!AG14="","",INDEX($E$46:$AB$47,2,MATCH(Main!AG14,$E$46:$AB$46,0)))</f>
        <v/>
      </c>
      <c r="AH14" s="21" t="str">
        <f>IF(Main!AH14="","",INDEX($E$46:$AB$47,2,MATCH(Main!AH14,$E$46:$AB$46,0)))</f>
        <v/>
      </c>
      <c r="AI14" s="21" t="str">
        <f>IF(Main!AI14="","",INDEX($E$46:$AB$47,2,MATCH(Main!AI14,$E$46:$AB$46,0)))</f>
        <v/>
      </c>
      <c r="AJ14" s="21">
        <f>COUNTIF(Main!E14:'Main'!AI14,"К")</f>
        <v>0</v>
      </c>
      <c r="AK14" s="21">
        <f>COUNTIF(Main!E14:'Main'!AI14,"П")</f>
        <v>0</v>
      </c>
      <c r="AL14" s="20">
        <f>COUNTIF(Main!E14:'Main'!AI14,"Б")</f>
        <v>0</v>
      </c>
      <c r="AM14" s="20">
        <f>COUNTIF(Main!E14:'Main'!AI14,"О")</f>
        <v>0</v>
      </c>
      <c r="AN14" s="20">
        <f>COUNTIF(Main!E14:'Main'!AI14,"АО")</f>
        <v>0</v>
      </c>
      <c r="AO14" s="46">
        <f>SUMIF($E$43:$AI$43,"В",Main!E14:'Main'!AI14)</f>
        <v>7</v>
      </c>
      <c r="AP14" s="20"/>
      <c r="AQ14" s="22"/>
      <c r="AR14" s="20">
        <f t="shared" ref="AR14:AR39" si="0">COUNTIF(E14:AI14,"&gt;0")</f>
        <v>6</v>
      </c>
      <c r="AS14" s="46">
        <f t="shared" ref="AS14:AS39" si="1">SUM(E14:AI14)</f>
        <v>47</v>
      </c>
      <c r="AT14" s="22">
        <v>19</v>
      </c>
      <c r="AU14" s="20">
        <v>152</v>
      </c>
    </row>
    <row r="15" spans="1:51" ht="14.25" customHeight="1" x14ac:dyDescent="0.2">
      <c r="A15" s="23">
        <v>3</v>
      </c>
      <c r="B15" s="23">
        <v>31205</v>
      </c>
      <c r="C15" s="24" t="s">
        <v>64</v>
      </c>
      <c r="D15" s="25" t="s">
        <v>62</v>
      </c>
      <c r="E15" s="21">
        <f>IF(Main!E15="","",INDEX($E$46:$AB$47,2,MATCH(Main!E15,$E$46:$AB$46,0)))</f>
        <v>0</v>
      </c>
      <c r="F15" s="21">
        <f>IF(Main!F15="","",INDEX($E$46:$AB$47,2,MATCH(Main!F15,$E$46:$AB$46,0)))</f>
        <v>0</v>
      </c>
      <c r="G15" s="21">
        <f>IF(Main!G15="","",INDEX($E$46:$AB$47,2,MATCH(Main!G15,$E$46:$AB$46,0)))</f>
        <v>0</v>
      </c>
      <c r="H15" s="21">
        <f>IF(Main!H15="","",INDEX($E$46:$AB$47,2,MATCH(Main!H15,$E$46:$AB$46,0)))</f>
        <v>0</v>
      </c>
      <c r="I15" s="21">
        <f>IF(Main!I15="","",INDEX($E$46:$AB$47,2,MATCH(Main!I15,$E$46:$AB$46,0)))</f>
        <v>0</v>
      </c>
      <c r="J15" s="21">
        <f>IF(Main!J15="","",INDEX($E$46:$AB$47,2,MATCH(Main!J15,$E$46:$AB$46,0)))</f>
        <v>0</v>
      </c>
      <c r="K15" s="21">
        <f>IF(Main!K15="","",INDEX($E$46:$AB$47,2,MATCH(Main!K15,$E$46:$AB$46,0)))</f>
        <v>0</v>
      </c>
      <c r="L15" s="21">
        <f>IF(Main!L15="","",INDEX($E$46:$AB$47,2,MATCH(Main!L15,$E$46:$AB$46,0)))</f>
        <v>0</v>
      </c>
      <c r="M15" s="21" t="str">
        <f>IF(Main!M15="","",INDEX($E$46:$AB$47,2,MATCH(Main!M15,$E$46:$AB$46,0)))</f>
        <v/>
      </c>
      <c r="N15" s="21" t="str">
        <f>IF(Main!N15="","",INDEX($E$46:$AB$47,2,MATCH(Main!N15,$E$46:$AB$46,0)))</f>
        <v/>
      </c>
      <c r="O15" s="21" t="str">
        <f>IF(Main!O15="","",INDEX($E$46:$AB$47,2,MATCH(Main!O15,$E$46:$AB$46,0)))</f>
        <v/>
      </c>
      <c r="P15" s="21" t="str">
        <f>IF(Main!P15="","",INDEX($E$46:$AB$47,2,MATCH(Main!P15,$E$46:$AB$46,0)))</f>
        <v/>
      </c>
      <c r="Q15" s="21" t="str">
        <f>IF(Main!Q15="","",INDEX($E$46:$AB$47,2,MATCH(Main!Q15,$E$46:$AB$46,0)))</f>
        <v/>
      </c>
      <c r="R15" s="21" t="str">
        <f>IF(Main!R15="","",INDEX($E$46:$AB$47,2,MATCH(Main!R15,$E$46:$AB$46,0)))</f>
        <v/>
      </c>
      <c r="S15" s="21" t="str">
        <f>IF(Main!S15="","",INDEX($E$46:$AB$47,2,MATCH(Main!S15,$E$46:$AB$46,0)))</f>
        <v/>
      </c>
      <c r="T15" s="21" t="str">
        <f>IF(Main!T15="","",INDEX($E$46:$AB$47,2,MATCH(Main!T15,$E$46:$AB$46,0)))</f>
        <v/>
      </c>
      <c r="U15" s="21" t="str">
        <f>IF(Main!U15="","",INDEX($E$46:$AB$47,2,MATCH(Main!U15,$E$46:$AB$46,0)))</f>
        <v/>
      </c>
      <c r="V15" s="21" t="str">
        <f>IF(Main!V15="","",INDEX($E$46:$AB$47,2,MATCH(Main!V15,$E$46:$AB$46,0)))</f>
        <v/>
      </c>
      <c r="W15" s="21" t="str">
        <f>IF(Main!W15="","",INDEX($E$46:$AB$47,2,MATCH(Main!W15,$E$46:$AB$46,0)))</f>
        <v/>
      </c>
      <c r="X15" s="21" t="str">
        <f>IF(Main!X15="","",INDEX($E$46:$AB$47,2,MATCH(Main!X15,$E$46:$AB$46,0)))</f>
        <v/>
      </c>
      <c r="Y15" s="21" t="str">
        <f>IF(Main!Y15="","",INDEX($E$46:$AB$47,2,MATCH(Main!Y15,$E$46:$AB$46,0)))</f>
        <v/>
      </c>
      <c r="Z15" s="21" t="str">
        <f>IF(Main!Z15="","",INDEX($E$46:$AB$47,2,MATCH(Main!Z15,$E$46:$AB$46,0)))</f>
        <v/>
      </c>
      <c r="AA15" s="21" t="str">
        <f>IF(Main!AA15="","",INDEX($E$46:$AB$47,2,MATCH(Main!AA15,$E$46:$AB$46,0)))</f>
        <v/>
      </c>
      <c r="AB15" s="21" t="str">
        <f>IF(Main!AB15="","",INDEX($E$46:$AB$47,2,MATCH(Main!AB15,$E$46:$AB$46,0)))</f>
        <v/>
      </c>
      <c r="AC15" s="21" t="str">
        <f>IF(Main!AC15="","",INDEX($E$46:$AB$47,2,MATCH(Main!AC15,$E$46:$AB$46,0)))</f>
        <v/>
      </c>
      <c r="AD15" s="21" t="str">
        <f>IF(Main!AD15="","",INDEX($E$46:$AB$47,2,MATCH(Main!AD15,$E$46:$AB$46,0)))</f>
        <v/>
      </c>
      <c r="AE15" s="21" t="str">
        <f>IF(Main!AE15="","",INDEX($E$46:$AB$47,2,MATCH(Main!AE15,$E$46:$AB$46,0)))</f>
        <v/>
      </c>
      <c r="AF15" s="21" t="str">
        <f>IF(Main!AF15="","",INDEX($E$46:$AB$47,2,MATCH(Main!AF15,$E$46:$AB$46,0)))</f>
        <v/>
      </c>
      <c r="AG15" s="21" t="str">
        <f>IF(Main!AG15="","",INDEX($E$46:$AB$47,2,MATCH(Main!AG15,$E$46:$AB$46,0)))</f>
        <v/>
      </c>
      <c r="AH15" s="21" t="str">
        <f>IF(Main!AH15="","",INDEX($E$46:$AB$47,2,MATCH(Main!AH15,$E$46:$AB$46,0)))</f>
        <v/>
      </c>
      <c r="AI15" s="21" t="str">
        <f>IF(Main!AI15="","",INDEX($E$46:$AB$47,2,MATCH(Main!AI15,$E$46:$AB$46,0)))</f>
        <v/>
      </c>
      <c r="AJ15" s="21">
        <f>COUNTIF(Main!E15:'Main'!AI15,"К")</f>
        <v>0</v>
      </c>
      <c r="AK15" s="21">
        <f>COUNTIF(Main!E15:'Main'!AI15,"П")</f>
        <v>0</v>
      </c>
      <c r="AL15" s="20">
        <f>COUNTIF(Main!E15:'Main'!AI15,"Б")</f>
        <v>0</v>
      </c>
      <c r="AM15" s="20">
        <f>COUNTIF(Main!E15:'Main'!AI15,"О")</f>
        <v>8</v>
      </c>
      <c r="AN15" s="20">
        <f>COUNTIF(Main!E15:'Main'!AI15,"АО")</f>
        <v>0</v>
      </c>
      <c r="AO15" s="46">
        <f>SUMIF($E$43:$AI$43,"В",Main!E15:'Main'!AI15)</f>
        <v>0</v>
      </c>
      <c r="AP15" s="20"/>
      <c r="AQ15" s="22"/>
      <c r="AR15" s="20">
        <f t="shared" si="0"/>
        <v>0</v>
      </c>
      <c r="AS15" s="46">
        <f t="shared" si="1"/>
        <v>0</v>
      </c>
      <c r="AT15" s="22">
        <v>19</v>
      </c>
      <c r="AU15" s="20">
        <v>152</v>
      </c>
    </row>
    <row r="16" spans="1:51" ht="14.25" customHeight="1" x14ac:dyDescent="0.2">
      <c r="A16" s="23">
        <v>4</v>
      </c>
      <c r="B16" s="23">
        <v>83448</v>
      </c>
      <c r="C16" s="24" t="s">
        <v>65</v>
      </c>
      <c r="D16" s="24" t="s">
        <v>66</v>
      </c>
      <c r="E16" s="21">
        <f>IF(Main!E16="","",INDEX($E$46:$AB$47,2,MATCH(Main!E16,$E$46:$AB$46,0)))</f>
        <v>7</v>
      </c>
      <c r="F16" s="21">
        <f>IF(Main!F16="","",INDEX($E$46:$AB$47,2,MATCH(Main!F16,$E$46:$AB$46,0)))</f>
        <v>0</v>
      </c>
      <c r="G16" s="21">
        <f>IF(Main!G16="","",INDEX($E$46:$AB$47,2,MATCH(Main!G16,$E$46:$AB$46,0)))</f>
        <v>8</v>
      </c>
      <c r="H16" s="21">
        <f>IF(Main!H16="","",INDEX($E$46:$AB$47,2,MATCH(Main!H16,$E$46:$AB$46,0)))</f>
        <v>8</v>
      </c>
      <c r="I16" s="21">
        <f>IF(Main!I16="","",INDEX($E$46:$AB$47,2,MATCH(Main!I16,$E$46:$AB$46,0)))</f>
        <v>8</v>
      </c>
      <c r="J16" s="21">
        <f>IF(Main!J16="","",INDEX($E$46:$AB$47,2,MATCH(Main!J16,$E$46:$AB$46,0)))</f>
        <v>8</v>
      </c>
      <c r="K16" s="21" t="str">
        <f>IF(Main!K16="","",INDEX($E$46:$AB$47,2,MATCH(Main!K16,$E$46:$AB$46,0)))</f>
        <v/>
      </c>
      <c r="L16" s="21" t="str">
        <f>IF(Main!L16="","",INDEX($E$46:$AB$47,2,MATCH(Main!L16,$E$46:$AB$46,0)))</f>
        <v/>
      </c>
      <c r="M16" s="21" t="str">
        <f>IF(Main!M16="","",INDEX($E$46:$AB$47,2,MATCH(Main!M16,$E$46:$AB$46,0)))</f>
        <v/>
      </c>
      <c r="N16" s="21" t="str">
        <f>IF(Main!N16="","",INDEX($E$46:$AB$47,2,MATCH(Main!N16,$E$46:$AB$46,0)))</f>
        <v/>
      </c>
      <c r="O16" s="21" t="str">
        <f>IF(Main!O16="","",INDEX($E$46:$AB$47,2,MATCH(Main!O16,$E$46:$AB$46,0)))</f>
        <v/>
      </c>
      <c r="P16" s="21" t="str">
        <f>IF(Main!P16="","",INDEX($E$46:$AB$47,2,MATCH(Main!P16,$E$46:$AB$46,0)))</f>
        <v/>
      </c>
      <c r="Q16" s="21" t="str">
        <f>IF(Main!Q16="","",INDEX($E$46:$AB$47,2,MATCH(Main!Q16,$E$46:$AB$46,0)))</f>
        <v/>
      </c>
      <c r="R16" s="21" t="str">
        <f>IF(Main!R16="","",INDEX($E$46:$AB$47,2,MATCH(Main!R16,$E$46:$AB$46,0)))</f>
        <v/>
      </c>
      <c r="S16" s="21" t="str">
        <f>IF(Main!S16="","",INDEX($E$46:$AB$47,2,MATCH(Main!S16,$E$46:$AB$46,0)))</f>
        <v/>
      </c>
      <c r="T16" s="21" t="str">
        <f>IF(Main!T16="","",INDEX($E$46:$AB$47,2,MATCH(Main!T16,$E$46:$AB$46,0)))</f>
        <v/>
      </c>
      <c r="U16" s="21" t="str">
        <f>IF(Main!U16="","",INDEX($E$46:$AB$47,2,MATCH(Main!U16,$E$46:$AB$46,0)))</f>
        <v/>
      </c>
      <c r="V16" s="21" t="str">
        <f>IF(Main!V16="","",INDEX($E$46:$AB$47,2,MATCH(Main!V16,$E$46:$AB$46,0)))</f>
        <v/>
      </c>
      <c r="W16" s="21" t="str">
        <f>IF(Main!W16="","",INDEX($E$46:$AB$47,2,MATCH(Main!W16,$E$46:$AB$46,0)))</f>
        <v/>
      </c>
      <c r="X16" s="21" t="str">
        <f>IF(Main!X16="","",INDEX($E$46:$AB$47,2,MATCH(Main!X16,$E$46:$AB$46,0)))</f>
        <v/>
      </c>
      <c r="Y16" s="21" t="str">
        <f>IF(Main!Y16="","",INDEX($E$46:$AB$47,2,MATCH(Main!Y16,$E$46:$AB$46,0)))</f>
        <v/>
      </c>
      <c r="Z16" s="21" t="str">
        <f>IF(Main!Z16="","",INDEX($E$46:$AB$47,2,MATCH(Main!Z16,$E$46:$AB$46,0)))</f>
        <v/>
      </c>
      <c r="AA16" s="21" t="str">
        <f>IF(Main!AA16="","",INDEX($E$46:$AB$47,2,MATCH(Main!AA16,$E$46:$AB$46,0)))</f>
        <v/>
      </c>
      <c r="AB16" s="21" t="str">
        <f>IF(Main!AB16="","",INDEX($E$46:$AB$47,2,MATCH(Main!AB16,$E$46:$AB$46,0)))</f>
        <v/>
      </c>
      <c r="AC16" s="21" t="str">
        <f>IF(Main!AC16="","",INDEX($E$46:$AB$47,2,MATCH(Main!AC16,$E$46:$AB$46,0)))</f>
        <v/>
      </c>
      <c r="AD16" s="21" t="str">
        <f>IF(Main!AD16="","",INDEX($E$46:$AB$47,2,MATCH(Main!AD16,$E$46:$AB$46,0)))</f>
        <v/>
      </c>
      <c r="AE16" s="21" t="str">
        <f>IF(Main!AE16="","",INDEX($E$46:$AB$47,2,MATCH(Main!AE16,$E$46:$AB$46,0)))</f>
        <v/>
      </c>
      <c r="AF16" s="21" t="str">
        <f>IF(Main!AF16="","",INDEX($E$46:$AB$47,2,MATCH(Main!AF16,$E$46:$AB$46,0)))</f>
        <v/>
      </c>
      <c r="AG16" s="21" t="str">
        <f>IF(Main!AG16="","",INDEX($E$46:$AB$47,2,MATCH(Main!AG16,$E$46:$AB$46,0)))</f>
        <v/>
      </c>
      <c r="AH16" s="21" t="str">
        <f>IF(Main!AH16="","",INDEX($E$46:$AB$47,2,MATCH(Main!AH16,$E$46:$AB$46,0)))</f>
        <v/>
      </c>
      <c r="AI16" s="21" t="str">
        <f>IF(Main!AI16="","",INDEX($E$46:$AB$47,2,MATCH(Main!AI16,$E$46:$AB$46,0)))</f>
        <v/>
      </c>
      <c r="AJ16" s="21">
        <f>COUNTIF(Main!E16:'Main'!AI16,"К")</f>
        <v>0</v>
      </c>
      <c r="AK16" s="21">
        <f>COUNTIF(Main!E16:'Main'!AI16,"П")</f>
        <v>0</v>
      </c>
      <c r="AL16" s="20">
        <f>COUNTIF(Main!E16:'Main'!AI16,"Б")</f>
        <v>0</v>
      </c>
      <c r="AM16" s="20">
        <f>COUNTIF(Main!E16:'Main'!AI16,"О")</f>
        <v>0</v>
      </c>
      <c r="AN16" s="20">
        <f>COUNTIF(Main!E16:'Main'!AI16,"АО")</f>
        <v>0</v>
      </c>
      <c r="AO16" s="46">
        <f>SUMIF($E$43:$AI$43,"В",Main!E16:'Main'!AI16)</f>
        <v>7</v>
      </c>
      <c r="AP16" s="20"/>
      <c r="AQ16" s="22"/>
      <c r="AR16" s="20">
        <f t="shared" si="0"/>
        <v>5</v>
      </c>
      <c r="AS16" s="46">
        <f t="shared" si="1"/>
        <v>39</v>
      </c>
      <c r="AT16" s="22">
        <v>19</v>
      </c>
      <c r="AU16" s="20">
        <v>152</v>
      </c>
    </row>
    <row r="17" spans="1:47" ht="14.25" customHeight="1" x14ac:dyDescent="0.2">
      <c r="A17" s="23">
        <v>5</v>
      </c>
      <c r="B17" s="23">
        <v>21782</v>
      </c>
      <c r="C17" s="24" t="s">
        <v>67</v>
      </c>
      <c r="D17" s="24" t="s">
        <v>62</v>
      </c>
      <c r="E17" s="21">
        <f>IF(Main!E17="","",INDEX($E$46:$AB$47,2,MATCH(Main!E17,$E$46:$AB$46,0)))</f>
        <v>7</v>
      </c>
      <c r="F17" s="21">
        <f>IF(Main!F17="","",INDEX($E$46:$AB$47,2,MATCH(Main!F17,$E$46:$AB$46,0)))</f>
        <v>8</v>
      </c>
      <c r="G17" s="21">
        <f>IF(Main!G17="","",INDEX($E$46:$AB$47,2,MATCH(Main!G17,$E$46:$AB$46,0)))</f>
        <v>8</v>
      </c>
      <c r="H17" s="21">
        <f>IF(Main!H17="","",INDEX($E$46:$AB$47,2,MATCH(Main!H17,$E$46:$AB$46,0)))</f>
        <v>8</v>
      </c>
      <c r="I17" s="21">
        <f>IF(Main!I17="","",INDEX($E$46:$AB$47,2,MATCH(Main!I17,$E$46:$AB$46,0)))</f>
        <v>8</v>
      </c>
      <c r="J17" s="21">
        <f>IF(Main!J17="","",INDEX($E$46:$AB$47,2,MATCH(Main!J17,$E$46:$AB$46,0)))</f>
        <v>8</v>
      </c>
      <c r="K17" s="21" t="str">
        <f>IF(Main!K17="","",INDEX($E$46:$AB$47,2,MATCH(Main!K17,$E$46:$AB$46,0)))</f>
        <v/>
      </c>
      <c r="L17" s="21" t="str">
        <f>IF(Main!L17="","",INDEX($E$46:$AB$47,2,MATCH(Main!L17,$E$46:$AB$46,0)))</f>
        <v/>
      </c>
      <c r="M17" s="21" t="str">
        <f>IF(Main!M17="","",INDEX($E$46:$AB$47,2,MATCH(Main!M17,$E$46:$AB$46,0)))</f>
        <v/>
      </c>
      <c r="N17" s="21" t="str">
        <f>IF(Main!N17="","",INDEX($E$46:$AB$47,2,MATCH(Main!N17,$E$46:$AB$46,0)))</f>
        <v/>
      </c>
      <c r="O17" s="21" t="str">
        <f>IF(Main!O17="","",INDEX($E$46:$AB$47,2,MATCH(Main!O17,$E$46:$AB$46,0)))</f>
        <v/>
      </c>
      <c r="P17" s="21" t="str">
        <f>IF(Main!P17="","",INDEX($E$46:$AB$47,2,MATCH(Main!P17,$E$46:$AB$46,0)))</f>
        <v/>
      </c>
      <c r="Q17" s="21" t="str">
        <f>IF(Main!Q17="","",INDEX($E$46:$AB$47,2,MATCH(Main!Q17,$E$46:$AB$46,0)))</f>
        <v/>
      </c>
      <c r="R17" s="21" t="str">
        <f>IF(Main!R17="","",INDEX($E$46:$AB$47,2,MATCH(Main!R17,$E$46:$AB$46,0)))</f>
        <v/>
      </c>
      <c r="S17" s="21" t="str">
        <f>IF(Main!S17="","",INDEX($E$46:$AB$47,2,MATCH(Main!S17,$E$46:$AB$46,0)))</f>
        <v/>
      </c>
      <c r="T17" s="21" t="str">
        <f>IF(Main!T17="","",INDEX($E$46:$AB$47,2,MATCH(Main!T17,$E$46:$AB$46,0)))</f>
        <v/>
      </c>
      <c r="U17" s="21" t="str">
        <f>IF(Main!U17="","",INDEX($E$46:$AB$47,2,MATCH(Main!U17,$E$46:$AB$46,0)))</f>
        <v/>
      </c>
      <c r="V17" s="21" t="str">
        <f>IF(Main!V17="","",INDEX($E$46:$AB$47,2,MATCH(Main!V17,$E$46:$AB$46,0)))</f>
        <v/>
      </c>
      <c r="W17" s="21" t="str">
        <f>IF(Main!W17="","",INDEX($E$46:$AB$47,2,MATCH(Main!W17,$E$46:$AB$46,0)))</f>
        <v/>
      </c>
      <c r="X17" s="21" t="str">
        <f>IF(Main!X17="","",INDEX($E$46:$AB$47,2,MATCH(Main!X17,$E$46:$AB$46,0)))</f>
        <v/>
      </c>
      <c r="Y17" s="21" t="str">
        <f>IF(Main!Y17="","",INDEX($E$46:$AB$47,2,MATCH(Main!Y17,$E$46:$AB$46,0)))</f>
        <v/>
      </c>
      <c r="Z17" s="21" t="str">
        <f>IF(Main!Z17="","",INDEX($E$46:$AB$47,2,MATCH(Main!Z17,$E$46:$AB$46,0)))</f>
        <v/>
      </c>
      <c r="AA17" s="21" t="str">
        <f>IF(Main!AA17="","",INDEX($E$46:$AB$47,2,MATCH(Main!AA17,$E$46:$AB$46,0)))</f>
        <v/>
      </c>
      <c r="AB17" s="21" t="str">
        <f>IF(Main!AB17="","",INDEX($E$46:$AB$47,2,MATCH(Main!AB17,$E$46:$AB$46,0)))</f>
        <v/>
      </c>
      <c r="AC17" s="21" t="str">
        <f>IF(Main!AC17="","",INDEX($E$46:$AB$47,2,MATCH(Main!AC17,$E$46:$AB$46,0)))</f>
        <v/>
      </c>
      <c r="AD17" s="21" t="str">
        <f>IF(Main!AD17="","",INDEX($E$46:$AB$47,2,MATCH(Main!AD17,$E$46:$AB$46,0)))</f>
        <v/>
      </c>
      <c r="AE17" s="21" t="str">
        <f>IF(Main!AE17="","",INDEX($E$46:$AB$47,2,MATCH(Main!AE17,$E$46:$AB$46,0)))</f>
        <v/>
      </c>
      <c r="AF17" s="21" t="str">
        <f>IF(Main!AF17="","",INDEX($E$46:$AB$47,2,MATCH(Main!AF17,$E$46:$AB$46,0)))</f>
        <v/>
      </c>
      <c r="AG17" s="21" t="str">
        <f>IF(Main!AG17="","",INDEX($E$46:$AB$47,2,MATCH(Main!AG17,$E$46:$AB$46,0)))</f>
        <v/>
      </c>
      <c r="AH17" s="21" t="str">
        <f>IF(Main!AH17="","",INDEX($E$46:$AB$47,2,MATCH(Main!AH17,$E$46:$AB$46,0)))</f>
        <v/>
      </c>
      <c r="AI17" s="21" t="str">
        <f>IF(Main!AI17="","",INDEX($E$46:$AB$47,2,MATCH(Main!AI17,$E$46:$AB$46,0)))</f>
        <v/>
      </c>
      <c r="AJ17" s="21">
        <f>COUNTIF(Main!E17:'Main'!AI17,"К")</f>
        <v>0</v>
      </c>
      <c r="AK17" s="21">
        <f>COUNTIF(Main!E17:'Main'!AI17,"П")</f>
        <v>0</v>
      </c>
      <c r="AL17" s="20">
        <f>COUNTIF(Main!E17:'Main'!AI17,"Б")</f>
        <v>0</v>
      </c>
      <c r="AM17" s="20">
        <f>COUNTIF(Main!E17:'Main'!AI17,"О")</f>
        <v>0</v>
      </c>
      <c r="AN17" s="20">
        <f>COUNTIF(Main!E17:'Main'!AI17,"АО")</f>
        <v>0</v>
      </c>
      <c r="AO17" s="46">
        <f>SUMIF($E$43:$AI$43,"В",Main!E17:'Main'!AI17)</f>
        <v>7</v>
      </c>
      <c r="AP17" s="20"/>
      <c r="AQ17" s="22"/>
      <c r="AR17" s="20">
        <f t="shared" si="0"/>
        <v>6</v>
      </c>
      <c r="AS17" s="46">
        <f t="shared" si="1"/>
        <v>47</v>
      </c>
      <c r="AT17" s="22">
        <v>19</v>
      </c>
      <c r="AU17" s="20">
        <v>152</v>
      </c>
    </row>
    <row r="18" spans="1:47" ht="14.25" customHeight="1" x14ac:dyDescent="0.2">
      <c r="A18" s="23">
        <v>6</v>
      </c>
      <c r="B18" s="23">
        <v>90072</v>
      </c>
      <c r="C18" s="24" t="s">
        <v>68</v>
      </c>
      <c r="D18" s="24" t="s">
        <v>62</v>
      </c>
      <c r="E18" s="21" t="str">
        <f>IF(Main!E18="","",INDEX($E$46:$AB$47,2,MATCH(Main!E18,$E$46:$AB$46,0)))</f>
        <v/>
      </c>
      <c r="F18" s="21">
        <f>IF(Main!F18="","",INDEX($E$46:$AB$47,2,MATCH(Main!F18,$E$46:$AB$46,0)))</f>
        <v>8</v>
      </c>
      <c r="G18" s="21">
        <f>IF(Main!G18="","",INDEX($E$46:$AB$47,2,MATCH(Main!G18,$E$46:$AB$46,0)))</f>
        <v>8</v>
      </c>
      <c r="H18" s="21">
        <f>IF(Main!H18="","",INDEX($E$46:$AB$47,2,MATCH(Main!H18,$E$46:$AB$46,0)))</f>
        <v>8</v>
      </c>
      <c r="I18" s="21">
        <f>IF(Main!I18="","",INDEX($E$46:$AB$47,2,MATCH(Main!I18,$E$46:$AB$46,0)))</f>
        <v>8</v>
      </c>
      <c r="J18" s="21">
        <f>IF(Main!J18="","",INDEX($E$46:$AB$47,2,MATCH(Main!J18,$E$46:$AB$46,0)))</f>
        <v>8</v>
      </c>
      <c r="K18" s="21" t="str">
        <f>IF(Main!K18="","",INDEX($E$46:$AB$47,2,MATCH(Main!K18,$E$46:$AB$46,0)))</f>
        <v/>
      </c>
      <c r="L18" s="21" t="str">
        <f>IF(Main!L18="","",INDEX($E$46:$AB$47,2,MATCH(Main!L18,$E$46:$AB$46,0)))</f>
        <v/>
      </c>
      <c r="M18" s="21" t="str">
        <f>IF(Main!M18="","",INDEX($E$46:$AB$47,2,MATCH(Main!M18,$E$46:$AB$46,0)))</f>
        <v/>
      </c>
      <c r="N18" s="21" t="str">
        <f>IF(Main!N18="","",INDEX($E$46:$AB$47,2,MATCH(Main!N18,$E$46:$AB$46,0)))</f>
        <v/>
      </c>
      <c r="O18" s="21" t="str">
        <f>IF(Main!O18="","",INDEX($E$46:$AB$47,2,MATCH(Main!O18,$E$46:$AB$46,0)))</f>
        <v/>
      </c>
      <c r="P18" s="21" t="str">
        <f>IF(Main!P18="","",INDEX($E$46:$AB$47,2,MATCH(Main!P18,$E$46:$AB$46,0)))</f>
        <v/>
      </c>
      <c r="Q18" s="21" t="str">
        <f>IF(Main!Q18="","",INDEX($E$46:$AB$47,2,MATCH(Main!Q18,$E$46:$AB$46,0)))</f>
        <v/>
      </c>
      <c r="R18" s="21" t="str">
        <f>IF(Main!R18="","",INDEX($E$46:$AB$47,2,MATCH(Main!R18,$E$46:$AB$46,0)))</f>
        <v/>
      </c>
      <c r="S18" s="21" t="str">
        <f>IF(Main!S18="","",INDEX($E$46:$AB$47,2,MATCH(Main!S18,$E$46:$AB$46,0)))</f>
        <v/>
      </c>
      <c r="T18" s="21" t="str">
        <f>IF(Main!T18="","",INDEX($E$46:$AB$47,2,MATCH(Main!T18,$E$46:$AB$46,0)))</f>
        <v/>
      </c>
      <c r="U18" s="21" t="str">
        <f>IF(Main!U18="","",INDEX($E$46:$AB$47,2,MATCH(Main!U18,$E$46:$AB$46,0)))</f>
        <v/>
      </c>
      <c r="V18" s="21" t="str">
        <f>IF(Main!V18="","",INDEX($E$46:$AB$47,2,MATCH(Main!V18,$E$46:$AB$46,0)))</f>
        <v/>
      </c>
      <c r="W18" s="21" t="str">
        <f>IF(Main!W18="","",INDEX($E$46:$AB$47,2,MATCH(Main!W18,$E$46:$AB$46,0)))</f>
        <v/>
      </c>
      <c r="X18" s="21" t="str">
        <f>IF(Main!X18="","",INDEX($E$46:$AB$47,2,MATCH(Main!X18,$E$46:$AB$46,0)))</f>
        <v/>
      </c>
      <c r="Y18" s="21" t="str">
        <f>IF(Main!Y18="","",INDEX($E$46:$AB$47,2,MATCH(Main!Y18,$E$46:$AB$46,0)))</f>
        <v/>
      </c>
      <c r="Z18" s="21" t="str">
        <f>IF(Main!Z18="","",INDEX($E$46:$AB$47,2,MATCH(Main!Z18,$E$46:$AB$46,0)))</f>
        <v/>
      </c>
      <c r="AA18" s="21" t="str">
        <f>IF(Main!AA18="","",INDEX($E$46:$AB$47,2,MATCH(Main!AA18,$E$46:$AB$46,0)))</f>
        <v/>
      </c>
      <c r="AB18" s="21" t="str">
        <f>IF(Main!AB18="","",INDEX($E$46:$AB$47,2,MATCH(Main!AB18,$E$46:$AB$46,0)))</f>
        <v/>
      </c>
      <c r="AC18" s="21" t="str">
        <f>IF(Main!AC18="","",INDEX($E$46:$AB$47,2,MATCH(Main!AC18,$E$46:$AB$46,0)))</f>
        <v/>
      </c>
      <c r="AD18" s="21" t="str">
        <f>IF(Main!AD18="","",INDEX($E$46:$AB$47,2,MATCH(Main!AD18,$E$46:$AB$46,0)))</f>
        <v/>
      </c>
      <c r="AE18" s="21" t="str">
        <f>IF(Main!AE18="","",INDEX($E$46:$AB$47,2,MATCH(Main!AE18,$E$46:$AB$46,0)))</f>
        <v/>
      </c>
      <c r="AF18" s="21" t="str">
        <f>IF(Main!AF18="","",INDEX($E$46:$AB$47,2,MATCH(Main!AF18,$E$46:$AB$46,0)))</f>
        <v/>
      </c>
      <c r="AG18" s="21" t="str">
        <f>IF(Main!AG18="","",INDEX($E$46:$AB$47,2,MATCH(Main!AG18,$E$46:$AB$46,0)))</f>
        <v/>
      </c>
      <c r="AH18" s="21" t="str">
        <f>IF(Main!AH18="","",INDEX($E$46:$AB$47,2,MATCH(Main!AH18,$E$46:$AB$46,0)))</f>
        <v/>
      </c>
      <c r="AI18" s="21" t="str">
        <f>IF(Main!AI18="","",INDEX($E$46:$AB$47,2,MATCH(Main!AI18,$E$46:$AB$46,0)))</f>
        <v/>
      </c>
      <c r="AJ18" s="21">
        <f>COUNTIF(Main!E18:'Main'!AI18,"К")</f>
        <v>0</v>
      </c>
      <c r="AK18" s="21">
        <f>COUNTIF(Main!E18:'Main'!AI18,"П")</f>
        <v>0</v>
      </c>
      <c r="AL18" s="20">
        <f>COUNTIF(Main!E18:'Main'!AI18,"Б")</f>
        <v>0</v>
      </c>
      <c r="AM18" s="20">
        <f>COUNTIF(Main!E18:'Main'!AI18,"О")</f>
        <v>0</v>
      </c>
      <c r="AN18" s="20">
        <f>COUNTIF(Main!E18:'Main'!AI18,"АО")</f>
        <v>0</v>
      </c>
      <c r="AO18" s="46">
        <f>SUMIF($E$43:$AI$43,"В",Main!E18:'Main'!AI18)</f>
        <v>0</v>
      </c>
      <c r="AP18" s="20"/>
      <c r="AQ18" s="22"/>
      <c r="AR18" s="20">
        <f t="shared" si="0"/>
        <v>5</v>
      </c>
      <c r="AS18" s="46">
        <f t="shared" si="1"/>
        <v>40</v>
      </c>
      <c r="AT18" s="22">
        <v>19</v>
      </c>
      <c r="AU18" s="20">
        <v>152</v>
      </c>
    </row>
    <row r="19" spans="1:47" ht="14.25" customHeight="1" x14ac:dyDescent="0.2">
      <c r="A19" s="23">
        <v>7</v>
      </c>
      <c r="B19" s="23">
        <v>63549</v>
      </c>
      <c r="C19" s="24" t="s">
        <v>69</v>
      </c>
      <c r="D19" s="24" t="s">
        <v>62</v>
      </c>
      <c r="E19" s="21" t="str">
        <f>IF(Main!E19="","",INDEX($E$46:$AB$47,2,MATCH(Main!E19,$E$46:$AB$46,0)))</f>
        <v/>
      </c>
      <c r="F19" s="21">
        <f>IF(Main!F19="","",INDEX($E$46:$AB$47,2,MATCH(Main!F19,$E$46:$AB$46,0)))</f>
        <v>8</v>
      </c>
      <c r="G19" s="21">
        <f>IF(Main!G19="","",INDEX($E$46:$AB$47,2,MATCH(Main!G19,$E$46:$AB$46,0)))</f>
        <v>8</v>
      </c>
      <c r="H19" s="21">
        <f>IF(Main!H19="","",INDEX($E$46:$AB$47,2,MATCH(Main!H19,$E$46:$AB$46,0)))</f>
        <v>8</v>
      </c>
      <c r="I19" s="21">
        <f>IF(Main!I19="","",INDEX($E$46:$AB$47,2,MATCH(Main!I19,$E$46:$AB$46,0)))</f>
        <v>8</v>
      </c>
      <c r="J19" s="21">
        <f>IF(Main!J19="","",INDEX($E$46:$AB$47,2,MATCH(Main!J19,$E$46:$AB$46,0)))</f>
        <v>8</v>
      </c>
      <c r="K19" s="21" t="str">
        <f>IF(Main!K19="","",INDEX($E$46:$AB$47,2,MATCH(Main!K19,$E$46:$AB$46,0)))</f>
        <v/>
      </c>
      <c r="L19" s="21" t="str">
        <f>IF(Main!L19="","",INDEX($E$46:$AB$47,2,MATCH(Main!L19,$E$46:$AB$46,0)))</f>
        <v/>
      </c>
      <c r="M19" s="21" t="str">
        <f>IF(Main!M19="","",INDEX($E$46:$AB$47,2,MATCH(Main!M19,$E$46:$AB$46,0)))</f>
        <v/>
      </c>
      <c r="N19" s="21" t="str">
        <f>IF(Main!N19="","",INDEX($E$46:$AB$47,2,MATCH(Main!N19,$E$46:$AB$46,0)))</f>
        <v/>
      </c>
      <c r="O19" s="21" t="str">
        <f>IF(Main!O19="","",INDEX($E$46:$AB$47,2,MATCH(Main!O19,$E$46:$AB$46,0)))</f>
        <v/>
      </c>
      <c r="P19" s="21" t="str">
        <f>IF(Main!P19="","",INDEX($E$46:$AB$47,2,MATCH(Main!P19,$E$46:$AB$46,0)))</f>
        <v/>
      </c>
      <c r="Q19" s="21" t="str">
        <f>IF(Main!Q19="","",INDEX($E$46:$AB$47,2,MATCH(Main!Q19,$E$46:$AB$46,0)))</f>
        <v/>
      </c>
      <c r="R19" s="21" t="str">
        <f>IF(Main!R19="","",INDEX($E$46:$AB$47,2,MATCH(Main!R19,$E$46:$AB$46,0)))</f>
        <v/>
      </c>
      <c r="S19" s="21" t="str">
        <f>IF(Main!S19="","",INDEX($E$46:$AB$47,2,MATCH(Main!S19,$E$46:$AB$46,0)))</f>
        <v/>
      </c>
      <c r="T19" s="21" t="str">
        <f>IF(Main!T19="","",INDEX($E$46:$AB$47,2,MATCH(Main!T19,$E$46:$AB$46,0)))</f>
        <v/>
      </c>
      <c r="U19" s="21" t="str">
        <f>IF(Main!U19="","",INDEX($E$46:$AB$47,2,MATCH(Main!U19,$E$46:$AB$46,0)))</f>
        <v/>
      </c>
      <c r="V19" s="21" t="str">
        <f>IF(Main!V19="","",INDEX($E$46:$AB$47,2,MATCH(Main!V19,$E$46:$AB$46,0)))</f>
        <v/>
      </c>
      <c r="W19" s="21" t="str">
        <f>IF(Main!W19="","",INDEX($E$46:$AB$47,2,MATCH(Main!W19,$E$46:$AB$46,0)))</f>
        <v/>
      </c>
      <c r="X19" s="21" t="str">
        <f>IF(Main!X19="","",INDEX($E$46:$AB$47,2,MATCH(Main!X19,$E$46:$AB$46,0)))</f>
        <v/>
      </c>
      <c r="Y19" s="21" t="str">
        <f>IF(Main!Y19="","",INDEX($E$46:$AB$47,2,MATCH(Main!Y19,$E$46:$AB$46,0)))</f>
        <v/>
      </c>
      <c r="Z19" s="21" t="str">
        <f>IF(Main!Z19="","",INDEX($E$46:$AB$47,2,MATCH(Main!Z19,$E$46:$AB$46,0)))</f>
        <v/>
      </c>
      <c r="AA19" s="21" t="str">
        <f>IF(Main!AA19="","",INDEX($E$46:$AB$47,2,MATCH(Main!AA19,$E$46:$AB$46,0)))</f>
        <v/>
      </c>
      <c r="AB19" s="21" t="str">
        <f>IF(Main!AB19="","",INDEX($E$46:$AB$47,2,MATCH(Main!AB19,$E$46:$AB$46,0)))</f>
        <v/>
      </c>
      <c r="AC19" s="21" t="str">
        <f>IF(Main!AC19="","",INDEX($E$46:$AB$47,2,MATCH(Main!AC19,$E$46:$AB$46,0)))</f>
        <v/>
      </c>
      <c r="AD19" s="21" t="str">
        <f>IF(Main!AD19="","",INDEX($E$46:$AB$47,2,MATCH(Main!AD19,$E$46:$AB$46,0)))</f>
        <v/>
      </c>
      <c r="AE19" s="21" t="str">
        <f>IF(Main!AE19="","",INDEX($E$46:$AB$47,2,MATCH(Main!AE19,$E$46:$AB$46,0)))</f>
        <v/>
      </c>
      <c r="AF19" s="21" t="str">
        <f>IF(Main!AF19="","",INDEX($E$46:$AB$47,2,MATCH(Main!AF19,$E$46:$AB$46,0)))</f>
        <v/>
      </c>
      <c r="AG19" s="21" t="str">
        <f>IF(Main!AG19="","",INDEX($E$46:$AB$47,2,MATCH(Main!AG19,$E$46:$AB$46,0)))</f>
        <v/>
      </c>
      <c r="AH19" s="21" t="str">
        <f>IF(Main!AH19="","",INDEX($E$46:$AB$47,2,MATCH(Main!AH19,$E$46:$AB$46,0)))</f>
        <v/>
      </c>
      <c r="AI19" s="21" t="str">
        <f>IF(Main!AI19="","",INDEX($E$46:$AB$47,2,MATCH(Main!AI19,$E$46:$AB$46,0)))</f>
        <v/>
      </c>
      <c r="AJ19" s="21">
        <f>COUNTIF(Main!E19:'Main'!AI19,"К")</f>
        <v>0</v>
      </c>
      <c r="AK19" s="21">
        <f>COUNTIF(Main!E19:'Main'!AI19,"П")</f>
        <v>0</v>
      </c>
      <c r="AL19" s="20">
        <f>COUNTIF(Main!E19:'Main'!AI19,"Б")</f>
        <v>0</v>
      </c>
      <c r="AM19" s="20">
        <f>COUNTIF(Main!E19:'Main'!AI19,"О")</f>
        <v>0</v>
      </c>
      <c r="AN19" s="20">
        <f>COUNTIF(Main!E19:'Main'!AI19,"АО")</f>
        <v>0</v>
      </c>
      <c r="AO19" s="46">
        <f>SUMIF($E$43:$AI$43,"В",Main!E19:'Main'!AI19)</f>
        <v>0</v>
      </c>
      <c r="AP19" s="20"/>
      <c r="AQ19" s="22"/>
      <c r="AR19" s="20">
        <f t="shared" si="0"/>
        <v>5</v>
      </c>
      <c r="AS19" s="46">
        <f t="shared" si="1"/>
        <v>40</v>
      </c>
      <c r="AT19" s="22">
        <v>19</v>
      </c>
      <c r="AU19" s="20">
        <v>152</v>
      </c>
    </row>
    <row r="20" spans="1:47" ht="14.25" customHeight="1" x14ac:dyDescent="0.2">
      <c r="A20" s="23">
        <v>8</v>
      </c>
      <c r="B20" s="23">
        <v>12377</v>
      </c>
      <c r="C20" s="24" t="s">
        <v>70</v>
      </c>
      <c r="D20" s="24" t="s">
        <v>62</v>
      </c>
      <c r="E20" s="21" t="str">
        <f>IF(Main!E20="","",INDEX($E$46:$AB$47,2,MATCH(Main!E20,$E$46:$AB$46,0)))</f>
        <v/>
      </c>
      <c r="F20" s="21">
        <f>IF(Main!F20="","",INDEX($E$46:$AB$47,2,MATCH(Main!F20,$E$46:$AB$46,0)))</f>
        <v>8</v>
      </c>
      <c r="G20" s="21">
        <f>IF(Main!G20="","",INDEX($E$46:$AB$47,2,MATCH(Main!G20,$E$46:$AB$46,0)))</f>
        <v>8</v>
      </c>
      <c r="H20" s="21">
        <f>IF(Main!H20="","",INDEX($E$46:$AB$47,2,MATCH(Main!H20,$E$46:$AB$46,0)))</f>
        <v>8</v>
      </c>
      <c r="I20" s="21">
        <f>IF(Main!I20="","",INDEX($E$46:$AB$47,2,MATCH(Main!I20,$E$46:$AB$46,0)))</f>
        <v>8</v>
      </c>
      <c r="J20" s="21">
        <f>IF(Main!J20="","",INDEX($E$46:$AB$47,2,MATCH(Main!J20,$E$46:$AB$46,0)))</f>
        <v>8</v>
      </c>
      <c r="K20" s="21" t="str">
        <f>IF(Main!K20="","",INDEX($E$46:$AB$47,2,MATCH(Main!K20,$E$46:$AB$46,0)))</f>
        <v/>
      </c>
      <c r="L20" s="21" t="str">
        <f>IF(Main!L20="","",INDEX($E$46:$AB$47,2,MATCH(Main!L20,$E$46:$AB$46,0)))</f>
        <v/>
      </c>
      <c r="M20" s="21" t="str">
        <f>IF(Main!M20="","",INDEX($E$46:$AB$47,2,MATCH(Main!M20,$E$46:$AB$46,0)))</f>
        <v/>
      </c>
      <c r="N20" s="21" t="str">
        <f>IF(Main!N20="","",INDEX($E$46:$AB$47,2,MATCH(Main!N20,$E$46:$AB$46,0)))</f>
        <v/>
      </c>
      <c r="O20" s="21" t="str">
        <f>IF(Main!O20="","",INDEX($E$46:$AB$47,2,MATCH(Main!O20,$E$46:$AB$46,0)))</f>
        <v/>
      </c>
      <c r="P20" s="21" t="str">
        <f>IF(Main!P20="","",INDEX($E$46:$AB$47,2,MATCH(Main!P20,$E$46:$AB$46,0)))</f>
        <v/>
      </c>
      <c r="Q20" s="21" t="str">
        <f>IF(Main!Q20="","",INDEX($E$46:$AB$47,2,MATCH(Main!Q20,$E$46:$AB$46,0)))</f>
        <v/>
      </c>
      <c r="R20" s="21" t="str">
        <f>IF(Main!R20="","",INDEX($E$46:$AB$47,2,MATCH(Main!R20,$E$46:$AB$46,0)))</f>
        <v/>
      </c>
      <c r="S20" s="21" t="str">
        <f>IF(Main!S20="","",INDEX($E$46:$AB$47,2,MATCH(Main!S20,$E$46:$AB$46,0)))</f>
        <v/>
      </c>
      <c r="T20" s="21" t="str">
        <f>IF(Main!T20="","",INDEX($E$46:$AB$47,2,MATCH(Main!T20,$E$46:$AB$46,0)))</f>
        <v/>
      </c>
      <c r="U20" s="21" t="str">
        <f>IF(Main!U20="","",INDEX($E$46:$AB$47,2,MATCH(Main!U20,$E$46:$AB$46,0)))</f>
        <v/>
      </c>
      <c r="V20" s="21" t="str">
        <f>IF(Main!V20="","",INDEX($E$46:$AB$47,2,MATCH(Main!V20,$E$46:$AB$46,0)))</f>
        <v/>
      </c>
      <c r="W20" s="21" t="str">
        <f>IF(Main!W20="","",INDEX($E$46:$AB$47,2,MATCH(Main!W20,$E$46:$AB$46,0)))</f>
        <v/>
      </c>
      <c r="X20" s="21" t="str">
        <f>IF(Main!X20="","",INDEX($E$46:$AB$47,2,MATCH(Main!X20,$E$46:$AB$46,0)))</f>
        <v/>
      </c>
      <c r="Y20" s="21" t="str">
        <f>IF(Main!Y20="","",INDEX($E$46:$AB$47,2,MATCH(Main!Y20,$E$46:$AB$46,0)))</f>
        <v/>
      </c>
      <c r="Z20" s="21" t="str">
        <f>IF(Main!Z20="","",INDEX($E$46:$AB$47,2,MATCH(Main!Z20,$E$46:$AB$46,0)))</f>
        <v/>
      </c>
      <c r="AA20" s="21" t="str">
        <f>IF(Main!AA20="","",INDEX($E$46:$AB$47,2,MATCH(Main!AA20,$E$46:$AB$46,0)))</f>
        <v/>
      </c>
      <c r="AB20" s="21" t="str">
        <f>IF(Main!AB20="","",INDEX($E$46:$AB$47,2,MATCH(Main!AB20,$E$46:$AB$46,0)))</f>
        <v/>
      </c>
      <c r="AC20" s="21" t="str">
        <f>IF(Main!AC20="","",INDEX($E$46:$AB$47,2,MATCH(Main!AC20,$E$46:$AB$46,0)))</f>
        <v/>
      </c>
      <c r="AD20" s="21" t="str">
        <f>IF(Main!AD20="","",INDEX($E$46:$AB$47,2,MATCH(Main!AD20,$E$46:$AB$46,0)))</f>
        <v/>
      </c>
      <c r="AE20" s="21" t="str">
        <f>IF(Main!AE20="","",INDEX($E$46:$AB$47,2,MATCH(Main!AE20,$E$46:$AB$46,0)))</f>
        <v/>
      </c>
      <c r="AF20" s="21" t="str">
        <f>IF(Main!AF20="","",INDEX($E$46:$AB$47,2,MATCH(Main!AF20,$E$46:$AB$46,0)))</f>
        <v/>
      </c>
      <c r="AG20" s="21" t="str">
        <f>IF(Main!AG20="","",INDEX($E$46:$AB$47,2,MATCH(Main!AG20,$E$46:$AB$46,0)))</f>
        <v/>
      </c>
      <c r="AH20" s="21" t="str">
        <f>IF(Main!AH20="","",INDEX($E$46:$AB$47,2,MATCH(Main!AH20,$E$46:$AB$46,0)))</f>
        <v/>
      </c>
      <c r="AI20" s="21" t="str">
        <f>IF(Main!AI20="","",INDEX($E$46:$AB$47,2,MATCH(Main!AI20,$E$46:$AB$46,0)))</f>
        <v/>
      </c>
      <c r="AJ20" s="21">
        <f>COUNTIF(Main!E20:'Main'!AI20,"К")</f>
        <v>0</v>
      </c>
      <c r="AK20" s="21">
        <f>COUNTIF(Main!E20:'Main'!AI20,"П")</f>
        <v>0</v>
      </c>
      <c r="AL20" s="20">
        <f>COUNTIF(Main!E20:'Main'!AI20,"Б")</f>
        <v>0</v>
      </c>
      <c r="AM20" s="20">
        <f>COUNTIF(Main!E20:'Main'!AI20,"О")</f>
        <v>0</v>
      </c>
      <c r="AN20" s="20">
        <f>COUNTIF(Main!E20:'Main'!AI20,"АО")</f>
        <v>0</v>
      </c>
      <c r="AO20" s="46">
        <f>SUMIF($E$43:$AI$43,"В",Main!E20:'Main'!AI20)</f>
        <v>0</v>
      </c>
      <c r="AP20" s="20"/>
      <c r="AQ20" s="22"/>
      <c r="AR20" s="20">
        <f t="shared" si="0"/>
        <v>5</v>
      </c>
      <c r="AS20" s="46">
        <f t="shared" si="1"/>
        <v>40</v>
      </c>
      <c r="AT20" s="22">
        <v>19</v>
      </c>
      <c r="AU20" s="20">
        <v>152</v>
      </c>
    </row>
    <row r="21" spans="1:47" ht="14.25" customHeight="1" x14ac:dyDescent="0.2">
      <c r="A21" s="23">
        <v>9</v>
      </c>
      <c r="B21" s="23">
        <v>63558</v>
      </c>
      <c r="C21" s="24" t="s">
        <v>71</v>
      </c>
      <c r="D21" s="24" t="s">
        <v>62</v>
      </c>
      <c r="E21" s="21">
        <f>IF(Main!E21="","",INDEX($E$46:$AB$47,2,MATCH(Main!E21,$E$46:$AB$46,0)))</f>
        <v>0</v>
      </c>
      <c r="F21" s="21">
        <f>IF(Main!F21="","",INDEX($E$46:$AB$47,2,MATCH(Main!F21,$E$46:$AB$46,0)))</f>
        <v>0</v>
      </c>
      <c r="G21" s="21">
        <f>IF(Main!G21="","",INDEX($E$46:$AB$47,2,MATCH(Main!G21,$E$46:$AB$46,0)))</f>
        <v>0</v>
      </c>
      <c r="H21" s="21">
        <f>IF(Main!H21="","",INDEX($E$46:$AB$47,2,MATCH(Main!H21,$E$46:$AB$46,0)))</f>
        <v>0</v>
      </c>
      <c r="I21" s="21">
        <f>IF(Main!I21="","",INDEX($E$46:$AB$47,2,MATCH(Main!I21,$E$46:$AB$46,0)))</f>
        <v>0</v>
      </c>
      <c r="J21" s="21">
        <f>IF(Main!J21="","",INDEX($E$46:$AB$47,2,MATCH(Main!J21,$E$46:$AB$46,0)))</f>
        <v>0</v>
      </c>
      <c r="K21" s="21">
        <f>IF(Main!K21="","",INDEX($E$46:$AB$47,2,MATCH(Main!K21,$E$46:$AB$46,0)))</f>
        <v>0</v>
      </c>
      <c r="L21" s="21">
        <f>IF(Main!L21="","",INDEX($E$46:$AB$47,2,MATCH(Main!L21,$E$46:$AB$46,0)))</f>
        <v>0</v>
      </c>
      <c r="M21" s="21" t="str">
        <f>IF(Main!M21="","",INDEX($E$46:$AB$47,2,MATCH(Main!M21,$E$46:$AB$46,0)))</f>
        <v/>
      </c>
      <c r="N21" s="21" t="str">
        <f>IF(Main!N21="","",INDEX($E$46:$AB$47,2,MATCH(Main!N21,$E$46:$AB$46,0)))</f>
        <v/>
      </c>
      <c r="O21" s="21" t="str">
        <f>IF(Main!O21="","",INDEX($E$46:$AB$47,2,MATCH(Main!O21,$E$46:$AB$46,0)))</f>
        <v/>
      </c>
      <c r="P21" s="21" t="str">
        <f>IF(Main!P21="","",INDEX($E$46:$AB$47,2,MATCH(Main!P21,$E$46:$AB$46,0)))</f>
        <v/>
      </c>
      <c r="Q21" s="21" t="str">
        <f>IF(Main!Q21="","",INDEX($E$46:$AB$47,2,MATCH(Main!Q21,$E$46:$AB$46,0)))</f>
        <v/>
      </c>
      <c r="R21" s="21" t="str">
        <f>IF(Main!R21="","",INDEX($E$46:$AB$47,2,MATCH(Main!R21,$E$46:$AB$46,0)))</f>
        <v/>
      </c>
      <c r="S21" s="21" t="str">
        <f>IF(Main!S21="","",INDEX($E$46:$AB$47,2,MATCH(Main!S21,$E$46:$AB$46,0)))</f>
        <v/>
      </c>
      <c r="T21" s="21" t="str">
        <f>IF(Main!T21="","",INDEX($E$46:$AB$47,2,MATCH(Main!T21,$E$46:$AB$46,0)))</f>
        <v/>
      </c>
      <c r="U21" s="21" t="str">
        <f>IF(Main!U21="","",INDEX($E$46:$AB$47,2,MATCH(Main!U21,$E$46:$AB$46,0)))</f>
        <v/>
      </c>
      <c r="V21" s="21" t="str">
        <f>IF(Main!V21="","",INDEX($E$46:$AB$47,2,MATCH(Main!V21,$E$46:$AB$46,0)))</f>
        <v/>
      </c>
      <c r="W21" s="21" t="str">
        <f>IF(Main!W21="","",INDEX($E$46:$AB$47,2,MATCH(Main!W21,$E$46:$AB$46,0)))</f>
        <v/>
      </c>
      <c r="X21" s="21" t="str">
        <f>IF(Main!X21="","",INDEX($E$46:$AB$47,2,MATCH(Main!X21,$E$46:$AB$46,0)))</f>
        <v/>
      </c>
      <c r="Y21" s="21" t="str">
        <f>IF(Main!Y21="","",INDEX($E$46:$AB$47,2,MATCH(Main!Y21,$E$46:$AB$46,0)))</f>
        <v/>
      </c>
      <c r="Z21" s="21" t="str">
        <f>IF(Main!Z21="","",INDEX($E$46:$AB$47,2,MATCH(Main!Z21,$E$46:$AB$46,0)))</f>
        <v/>
      </c>
      <c r="AA21" s="21" t="str">
        <f>IF(Main!AA21="","",INDEX($E$46:$AB$47,2,MATCH(Main!AA21,$E$46:$AB$46,0)))</f>
        <v/>
      </c>
      <c r="AB21" s="21" t="str">
        <f>IF(Main!AB21="","",INDEX($E$46:$AB$47,2,MATCH(Main!AB21,$E$46:$AB$46,0)))</f>
        <v/>
      </c>
      <c r="AC21" s="21" t="str">
        <f>IF(Main!AC21="","",INDEX($E$46:$AB$47,2,MATCH(Main!AC21,$E$46:$AB$46,0)))</f>
        <v/>
      </c>
      <c r="AD21" s="21" t="str">
        <f>IF(Main!AD21="","",INDEX($E$46:$AB$47,2,MATCH(Main!AD21,$E$46:$AB$46,0)))</f>
        <v/>
      </c>
      <c r="AE21" s="21" t="str">
        <f>IF(Main!AE21="","",INDEX($E$46:$AB$47,2,MATCH(Main!AE21,$E$46:$AB$46,0)))</f>
        <v/>
      </c>
      <c r="AF21" s="21" t="str">
        <f>IF(Main!AF21="","",INDEX($E$46:$AB$47,2,MATCH(Main!AF21,$E$46:$AB$46,0)))</f>
        <v/>
      </c>
      <c r="AG21" s="21" t="str">
        <f>IF(Main!AG21="","",INDEX($E$46:$AB$47,2,MATCH(Main!AG21,$E$46:$AB$46,0)))</f>
        <v/>
      </c>
      <c r="AH21" s="21" t="str">
        <f>IF(Main!AH21="","",INDEX($E$46:$AB$47,2,MATCH(Main!AH21,$E$46:$AB$46,0)))</f>
        <v/>
      </c>
      <c r="AI21" s="21" t="str">
        <f>IF(Main!AI21="","",INDEX($E$46:$AB$47,2,MATCH(Main!AI21,$E$46:$AB$46,0)))</f>
        <v/>
      </c>
      <c r="AJ21" s="21">
        <f>COUNTIF(Main!E21:'Main'!AI21,"К")</f>
        <v>0</v>
      </c>
      <c r="AK21" s="21">
        <f>COUNTIF(Main!E21:'Main'!AI21,"П")</f>
        <v>0</v>
      </c>
      <c r="AL21" s="20">
        <f>COUNTIF(Main!E21:'Main'!AI21,"Б")</f>
        <v>0</v>
      </c>
      <c r="AM21" s="20">
        <f>COUNTIF(Main!E21:'Main'!AI21,"О")</f>
        <v>8</v>
      </c>
      <c r="AN21" s="20">
        <f>COUNTIF(Main!E21:'Main'!AI21,"АО")</f>
        <v>0</v>
      </c>
      <c r="AO21" s="46">
        <f>SUMIF($E$43:$AI$43,"В",Main!E21:'Main'!AI21)</f>
        <v>0</v>
      </c>
      <c r="AP21" s="20"/>
      <c r="AQ21" s="22"/>
      <c r="AR21" s="20">
        <f t="shared" si="0"/>
        <v>0</v>
      </c>
      <c r="AS21" s="46">
        <f t="shared" si="1"/>
        <v>0</v>
      </c>
      <c r="AT21" s="22">
        <v>19</v>
      </c>
      <c r="AU21" s="20">
        <v>152</v>
      </c>
    </row>
    <row r="22" spans="1:47" ht="12.75" customHeight="1" x14ac:dyDescent="0.2">
      <c r="A22" s="23">
        <v>10</v>
      </c>
      <c r="B22" s="23">
        <v>31178</v>
      </c>
      <c r="C22" s="24" t="s">
        <v>72</v>
      </c>
      <c r="D22" s="25" t="s">
        <v>62</v>
      </c>
      <c r="E22" s="21" t="str">
        <f>IF(Main!E22="","",INDEX($E$46:$AB$47,2,MATCH(Main!E22,$E$46:$AB$46,0)))</f>
        <v/>
      </c>
      <c r="F22" s="21">
        <f>IF(Main!F22="","",INDEX($E$46:$AB$47,2,MATCH(Main!F22,$E$46:$AB$46,0)))</f>
        <v>8</v>
      </c>
      <c r="G22" s="21">
        <f>IF(Main!G22="","",INDEX($E$46:$AB$47,2,MATCH(Main!G22,$E$46:$AB$46,0)))</f>
        <v>8</v>
      </c>
      <c r="H22" s="21">
        <f>IF(Main!H22="","",INDEX($E$46:$AB$47,2,MATCH(Main!H22,$E$46:$AB$46,0)))</f>
        <v>8</v>
      </c>
      <c r="I22" s="21">
        <f>IF(Main!I22="","",INDEX($E$46:$AB$47,2,MATCH(Main!I22,$E$46:$AB$46,0)))</f>
        <v>8</v>
      </c>
      <c r="J22" s="21">
        <f>IF(Main!J22="","",INDEX($E$46:$AB$47,2,MATCH(Main!J22,$E$46:$AB$46,0)))</f>
        <v>8</v>
      </c>
      <c r="K22" s="21" t="str">
        <f>IF(Main!K22="","",INDEX($E$46:$AB$47,2,MATCH(Main!K22,$E$46:$AB$46,0)))</f>
        <v/>
      </c>
      <c r="L22" s="21" t="str">
        <f>IF(Main!L22="","",INDEX($E$46:$AB$47,2,MATCH(Main!L22,$E$46:$AB$46,0)))</f>
        <v/>
      </c>
      <c r="M22" s="21" t="str">
        <f>IF(Main!M22="","",INDEX($E$46:$AB$47,2,MATCH(Main!M22,$E$46:$AB$46,0)))</f>
        <v/>
      </c>
      <c r="N22" s="21" t="str">
        <f>IF(Main!N22="","",INDEX($E$46:$AB$47,2,MATCH(Main!N22,$E$46:$AB$46,0)))</f>
        <v/>
      </c>
      <c r="O22" s="21" t="str">
        <f>IF(Main!O22="","",INDEX($E$46:$AB$47,2,MATCH(Main!O22,$E$46:$AB$46,0)))</f>
        <v/>
      </c>
      <c r="P22" s="21" t="str">
        <f>IF(Main!P22="","",INDEX($E$46:$AB$47,2,MATCH(Main!P22,$E$46:$AB$46,0)))</f>
        <v/>
      </c>
      <c r="Q22" s="21" t="str">
        <f>IF(Main!Q22="","",INDEX($E$46:$AB$47,2,MATCH(Main!Q22,$E$46:$AB$46,0)))</f>
        <v/>
      </c>
      <c r="R22" s="21" t="str">
        <f>IF(Main!R22="","",INDEX($E$46:$AB$47,2,MATCH(Main!R22,$E$46:$AB$46,0)))</f>
        <v/>
      </c>
      <c r="S22" s="21" t="str">
        <f>IF(Main!S22="","",INDEX($E$46:$AB$47,2,MATCH(Main!S22,$E$46:$AB$46,0)))</f>
        <v/>
      </c>
      <c r="T22" s="21" t="str">
        <f>IF(Main!T22="","",INDEX($E$46:$AB$47,2,MATCH(Main!T22,$E$46:$AB$46,0)))</f>
        <v/>
      </c>
      <c r="U22" s="21" t="str">
        <f>IF(Main!U22="","",INDEX($E$46:$AB$47,2,MATCH(Main!U22,$E$46:$AB$46,0)))</f>
        <v/>
      </c>
      <c r="V22" s="21" t="str">
        <f>IF(Main!V22="","",INDEX($E$46:$AB$47,2,MATCH(Main!V22,$E$46:$AB$46,0)))</f>
        <v/>
      </c>
      <c r="W22" s="21" t="str">
        <f>IF(Main!W22="","",INDEX($E$46:$AB$47,2,MATCH(Main!W22,$E$46:$AB$46,0)))</f>
        <v/>
      </c>
      <c r="X22" s="21" t="str">
        <f>IF(Main!X22="","",INDEX($E$46:$AB$47,2,MATCH(Main!X22,$E$46:$AB$46,0)))</f>
        <v/>
      </c>
      <c r="Y22" s="21" t="str">
        <f>IF(Main!Y22="","",INDEX($E$46:$AB$47,2,MATCH(Main!Y22,$E$46:$AB$46,0)))</f>
        <v/>
      </c>
      <c r="Z22" s="21" t="str">
        <f>IF(Main!Z22="","",INDEX($E$46:$AB$47,2,MATCH(Main!Z22,$E$46:$AB$46,0)))</f>
        <v/>
      </c>
      <c r="AA22" s="21" t="str">
        <f>IF(Main!AA22="","",INDEX($E$46:$AB$47,2,MATCH(Main!AA22,$E$46:$AB$46,0)))</f>
        <v/>
      </c>
      <c r="AB22" s="21" t="str">
        <f>IF(Main!AB22="","",INDEX($E$46:$AB$47,2,MATCH(Main!AB22,$E$46:$AB$46,0)))</f>
        <v/>
      </c>
      <c r="AC22" s="21" t="str">
        <f>IF(Main!AC22="","",INDEX($E$46:$AB$47,2,MATCH(Main!AC22,$E$46:$AB$46,0)))</f>
        <v/>
      </c>
      <c r="AD22" s="21" t="str">
        <f>IF(Main!AD22="","",INDEX($E$46:$AB$47,2,MATCH(Main!AD22,$E$46:$AB$46,0)))</f>
        <v/>
      </c>
      <c r="AE22" s="21" t="str">
        <f>IF(Main!AE22="","",INDEX($E$46:$AB$47,2,MATCH(Main!AE22,$E$46:$AB$46,0)))</f>
        <v/>
      </c>
      <c r="AF22" s="21" t="str">
        <f>IF(Main!AF22="","",INDEX($E$46:$AB$47,2,MATCH(Main!AF22,$E$46:$AB$46,0)))</f>
        <v/>
      </c>
      <c r="AG22" s="21" t="str">
        <f>IF(Main!AG22="","",INDEX($E$46:$AB$47,2,MATCH(Main!AG22,$E$46:$AB$46,0)))</f>
        <v/>
      </c>
      <c r="AH22" s="21" t="str">
        <f>IF(Main!AH22="","",INDEX($E$46:$AB$47,2,MATCH(Main!AH22,$E$46:$AB$46,0)))</f>
        <v/>
      </c>
      <c r="AI22" s="21" t="str">
        <f>IF(Main!AI22="","",INDEX($E$46:$AB$47,2,MATCH(Main!AI22,$E$46:$AB$46,0)))</f>
        <v/>
      </c>
      <c r="AJ22" s="21">
        <f>COUNTIF(Main!E22:'Main'!AI22,"К")</f>
        <v>0</v>
      </c>
      <c r="AK22" s="21">
        <f>COUNTIF(Main!E22:'Main'!AI22,"П")</f>
        <v>0</v>
      </c>
      <c r="AL22" s="20">
        <f>COUNTIF(Main!E22:'Main'!AI22,"Б")</f>
        <v>0</v>
      </c>
      <c r="AM22" s="20">
        <f>COUNTIF(Main!E22:'Main'!AI22,"О")</f>
        <v>0</v>
      </c>
      <c r="AN22" s="20">
        <f>COUNTIF(Main!E22:'Main'!AI22,"АО")</f>
        <v>0</v>
      </c>
      <c r="AO22" s="46">
        <f>SUMIF($E$43:$AI$43,"В",Main!E22:'Main'!AI22)</f>
        <v>0</v>
      </c>
      <c r="AP22" s="20"/>
      <c r="AQ22" s="22"/>
      <c r="AR22" s="20">
        <f t="shared" si="0"/>
        <v>5</v>
      </c>
      <c r="AS22" s="46">
        <f t="shared" si="1"/>
        <v>40</v>
      </c>
      <c r="AT22" s="22">
        <v>19</v>
      </c>
      <c r="AU22" s="20">
        <v>152</v>
      </c>
    </row>
    <row r="23" spans="1:47" ht="14.25" customHeight="1" x14ac:dyDescent="0.2">
      <c r="A23" s="23">
        <v>11</v>
      </c>
      <c r="B23" s="23">
        <v>21116</v>
      </c>
      <c r="C23" s="24" t="s">
        <v>73</v>
      </c>
      <c r="D23" s="24" t="s">
        <v>62</v>
      </c>
      <c r="E23" s="21" t="str">
        <f>IF(Main!E23="","",INDEX($E$46:$AB$47,2,MATCH(Main!E23,$E$46:$AB$46,0)))</f>
        <v/>
      </c>
      <c r="F23" s="21">
        <f>IF(Main!F23="","",INDEX($E$46:$AB$47,2,MATCH(Main!F23,$E$46:$AB$46,0)))</f>
        <v>8</v>
      </c>
      <c r="G23" s="21">
        <f>IF(Main!G23="","",INDEX($E$46:$AB$47,2,MATCH(Main!G23,$E$46:$AB$46,0)))</f>
        <v>8</v>
      </c>
      <c r="H23" s="21">
        <f>IF(Main!H23="","",INDEX($E$46:$AB$47,2,MATCH(Main!H23,$E$46:$AB$46,0)))</f>
        <v>8</v>
      </c>
      <c r="I23" s="21">
        <f>IF(Main!I23="","",INDEX($E$46:$AB$47,2,MATCH(Main!I23,$E$46:$AB$46,0)))</f>
        <v>8</v>
      </c>
      <c r="J23" s="21">
        <f>IF(Main!J23="","",INDEX($E$46:$AB$47,2,MATCH(Main!J23,$E$46:$AB$46,0)))</f>
        <v>8</v>
      </c>
      <c r="K23" s="21" t="str">
        <f>IF(Main!K23="","",INDEX($E$46:$AB$47,2,MATCH(Main!K23,$E$46:$AB$46,0)))</f>
        <v/>
      </c>
      <c r="L23" s="21" t="str">
        <f>IF(Main!L23="","",INDEX($E$46:$AB$47,2,MATCH(Main!L23,$E$46:$AB$46,0)))</f>
        <v/>
      </c>
      <c r="M23" s="21" t="str">
        <f>IF(Main!M23="","",INDEX($E$46:$AB$47,2,MATCH(Main!M23,$E$46:$AB$46,0)))</f>
        <v/>
      </c>
      <c r="N23" s="21" t="str">
        <f>IF(Main!N23="","",INDEX($E$46:$AB$47,2,MATCH(Main!N23,$E$46:$AB$46,0)))</f>
        <v/>
      </c>
      <c r="O23" s="21" t="str">
        <f>IF(Main!O23="","",INDEX($E$46:$AB$47,2,MATCH(Main!O23,$E$46:$AB$46,0)))</f>
        <v/>
      </c>
      <c r="P23" s="21" t="str">
        <f>IF(Main!P23="","",INDEX($E$46:$AB$47,2,MATCH(Main!P23,$E$46:$AB$46,0)))</f>
        <v/>
      </c>
      <c r="Q23" s="21" t="str">
        <f>IF(Main!Q23="","",INDEX($E$46:$AB$47,2,MATCH(Main!Q23,$E$46:$AB$46,0)))</f>
        <v/>
      </c>
      <c r="R23" s="21" t="str">
        <f>IF(Main!R23="","",INDEX($E$46:$AB$47,2,MATCH(Main!R23,$E$46:$AB$46,0)))</f>
        <v/>
      </c>
      <c r="S23" s="21" t="str">
        <f>IF(Main!S23="","",INDEX($E$46:$AB$47,2,MATCH(Main!S23,$E$46:$AB$46,0)))</f>
        <v/>
      </c>
      <c r="T23" s="21" t="str">
        <f>IF(Main!T23="","",INDEX($E$46:$AB$47,2,MATCH(Main!T23,$E$46:$AB$46,0)))</f>
        <v/>
      </c>
      <c r="U23" s="21" t="str">
        <f>IF(Main!U23="","",INDEX($E$46:$AB$47,2,MATCH(Main!U23,$E$46:$AB$46,0)))</f>
        <v/>
      </c>
      <c r="V23" s="21" t="str">
        <f>IF(Main!V23="","",INDEX($E$46:$AB$47,2,MATCH(Main!V23,$E$46:$AB$46,0)))</f>
        <v/>
      </c>
      <c r="W23" s="21" t="str">
        <f>IF(Main!W23="","",INDEX($E$46:$AB$47,2,MATCH(Main!W23,$E$46:$AB$46,0)))</f>
        <v/>
      </c>
      <c r="X23" s="21" t="str">
        <f>IF(Main!X23="","",INDEX($E$46:$AB$47,2,MATCH(Main!X23,$E$46:$AB$46,0)))</f>
        <v/>
      </c>
      <c r="Y23" s="21" t="str">
        <f>IF(Main!Y23="","",INDEX($E$46:$AB$47,2,MATCH(Main!Y23,$E$46:$AB$46,0)))</f>
        <v/>
      </c>
      <c r="Z23" s="21" t="str">
        <f>IF(Main!Z23="","",INDEX($E$46:$AB$47,2,MATCH(Main!Z23,$E$46:$AB$46,0)))</f>
        <v/>
      </c>
      <c r="AA23" s="21" t="str">
        <f>IF(Main!AA23="","",INDEX($E$46:$AB$47,2,MATCH(Main!AA23,$E$46:$AB$46,0)))</f>
        <v/>
      </c>
      <c r="AB23" s="21" t="str">
        <f>IF(Main!AB23="","",INDEX($E$46:$AB$47,2,MATCH(Main!AB23,$E$46:$AB$46,0)))</f>
        <v/>
      </c>
      <c r="AC23" s="21" t="str">
        <f>IF(Main!AC23="","",INDEX($E$46:$AB$47,2,MATCH(Main!AC23,$E$46:$AB$46,0)))</f>
        <v/>
      </c>
      <c r="AD23" s="21" t="str">
        <f>IF(Main!AD23="","",INDEX($E$46:$AB$47,2,MATCH(Main!AD23,$E$46:$AB$46,0)))</f>
        <v/>
      </c>
      <c r="AE23" s="21" t="str">
        <f>IF(Main!AE23="","",INDEX($E$46:$AB$47,2,MATCH(Main!AE23,$E$46:$AB$46,0)))</f>
        <v/>
      </c>
      <c r="AF23" s="21" t="str">
        <f>IF(Main!AF23="","",INDEX($E$46:$AB$47,2,MATCH(Main!AF23,$E$46:$AB$46,0)))</f>
        <v/>
      </c>
      <c r="AG23" s="21" t="str">
        <f>IF(Main!AG23="","",INDEX($E$46:$AB$47,2,MATCH(Main!AG23,$E$46:$AB$46,0)))</f>
        <v/>
      </c>
      <c r="AH23" s="21" t="str">
        <f>IF(Main!AH23="","",INDEX($E$46:$AB$47,2,MATCH(Main!AH23,$E$46:$AB$46,0)))</f>
        <v/>
      </c>
      <c r="AI23" s="21" t="str">
        <f>IF(Main!AI23="","",INDEX($E$46:$AB$47,2,MATCH(Main!AI23,$E$46:$AB$46,0)))</f>
        <v/>
      </c>
      <c r="AJ23" s="21">
        <f>COUNTIF(Main!E23:'Main'!AI23,"К")</f>
        <v>0</v>
      </c>
      <c r="AK23" s="21">
        <f>COUNTIF(Main!E23:'Main'!AI23,"П")</f>
        <v>0</v>
      </c>
      <c r="AL23" s="20">
        <f>COUNTIF(Main!E23:'Main'!AI23,"Б")</f>
        <v>0</v>
      </c>
      <c r="AM23" s="20">
        <f>COUNTIF(Main!E23:'Main'!AI23,"О")</f>
        <v>0</v>
      </c>
      <c r="AN23" s="20">
        <f>COUNTIF(Main!E23:'Main'!AI23,"АО")</f>
        <v>0</v>
      </c>
      <c r="AO23" s="46">
        <f>SUMIF($E$43:$AI$43,"В",Main!E23:'Main'!AI23)</f>
        <v>0</v>
      </c>
      <c r="AP23" s="20"/>
      <c r="AQ23" s="22"/>
      <c r="AR23" s="20">
        <f t="shared" si="0"/>
        <v>5</v>
      </c>
      <c r="AS23" s="46">
        <f t="shared" si="1"/>
        <v>40</v>
      </c>
      <c r="AT23" s="22">
        <v>19</v>
      </c>
      <c r="AU23" s="20">
        <v>152</v>
      </c>
    </row>
    <row r="24" spans="1:47" ht="14.25" customHeight="1" x14ac:dyDescent="0.2">
      <c r="A24" s="23">
        <v>12</v>
      </c>
      <c r="B24" s="23">
        <v>66051</v>
      </c>
      <c r="C24" s="24" t="s">
        <v>74</v>
      </c>
      <c r="D24" s="24" t="s">
        <v>66</v>
      </c>
      <c r="E24" s="21" t="str">
        <f>IF(Main!E24="","",INDEX($E$46:$AB$47,2,MATCH(Main!E24,$E$46:$AB$46,0)))</f>
        <v/>
      </c>
      <c r="F24" s="21">
        <f>IF(Main!F24="","",INDEX($E$46:$AB$47,2,MATCH(Main!F24,$E$46:$AB$46,0)))</f>
        <v>8</v>
      </c>
      <c r="G24" s="21">
        <f>IF(Main!G24="","",INDEX($E$46:$AB$47,2,MATCH(Main!G24,$E$46:$AB$46,0)))</f>
        <v>8</v>
      </c>
      <c r="H24" s="21">
        <f>IF(Main!H24="","",INDEX($E$46:$AB$47,2,MATCH(Main!H24,$E$46:$AB$46,0)))</f>
        <v>8</v>
      </c>
      <c r="I24" s="21">
        <f>IF(Main!I24="","",INDEX($E$46:$AB$47,2,MATCH(Main!I24,$E$46:$AB$46,0)))</f>
        <v>8</v>
      </c>
      <c r="J24" s="21">
        <f>IF(Main!J24="","",INDEX($E$46:$AB$47,2,MATCH(Main!J24,$E$46:$AB$46,0)))</f>
        <v>8</v>
      </c>
      <c r="K24" s="21" t="str">
        <f>IF(Main!K24="","",INDEX($E$46:$AB$47,2,MATCH(Main!K24,$E$46:$AB$46,0)))</f>
        <v/>
      </c>
      <c r="L24" s="21" t="str">
        <f>IF(Main!L24="","",INDEX($E$46:$AB$47,2,MATCH(Main!L24,$E$46:$AB$46,0)))</f>
        <v/>
      </c>
      <c r="M24" s="21" t="str">
        <f>IF(Main!M24="","",INDEX($E$46:$AB$47,2,MATCH(Main!M24,$E$46:$AB$46,0)))</f>
        <v/>
      </c>
      <c r="N24" s="21" t="str">
        <f>IF(Main!N24="","",INDEX($E$46:$AB$47,2,MATCH(Main!N24,$E$46:$AB$46,0)))</f>
        <v/>
      </c>
      <c r="O24" s="21" t="str">
        <f>IF(Main!O24="","",INDEX($E$46:$AB$47,2,MATCH(Main!O24,$E$46:$AB$46,0)))</f>
        <v/>
      </c>
      <c r="P24" s="21" t="str">
        <f>IF(Main!P24="","",INDEX($E$46:$AB$47,2,MATCH(Main!P24,$E$46:$AB$46,0)))</f>
        <v/>
      </c>
      <c r="Q24" s="21" t="str">
        <f>IF(Main!Q24="","",INDEX($E$46:$AB$47,2,MATCH(Main!Q24,$E$46:$AB$46,0)))</f>
        <v/>
      </c>
      <c r="R24" s="21" t="str">
        <f>IF(Main!R24="","",INDEX($E$46:$AB$47,2,MATCH(Main!R24,$E$46:$AB$46,0)))</f>
        <v/>
      </c>
      <c r="S24" s="21" t="str">
        <f>IF(Main!S24="","",INDEX($E$46:$AB$47,2,MATCH(Main!S24,$E$46:$AB$46,0)))</f>
        <v/>
      </c>
      <c r="T24" s="21" t="str">
        <f>IF(Main!T24="","",INDEX($E$46:$AB$47,2,MATCH(Main!T24,$E$46:$AB$46,0)))</f>
        <v/>
      </c>
      <c r="U24" s="21" t="str">
        <f>IF(Main!U24="","",INDEX($E$46:$AB$47,2,MATCH(Main!U24,$E$46:$AB$46,0)))</f>
        <v/>
      </c>
      <c r="V24" s="21" t="str">
        <f>IF(Main!V24="","",INDEX($E$46:$AB$47,2,MATCH(Main!V24,$E$46:$AB$46,0)))</f>
        <v/>
      </c>
      <c r="W24" s="21" t="str">
        <f>IF(Main!W24="","",INDEX($E$46:$AB$47,2,MATCH(Main!W24,$E$46:$AB$46,0)))</f>
        <v/>
      </c>
      <c r="X24" s="21" t="str">
        <f>IF(Main!X24="","",INDEX($E$46:$AB$47,2,MATCH(Main!X24,$E$46:$AB$46,0)))</f>
        <v/>
      </c>
      <c r="Y24" s="21" t="str">
        <f>IF(Main!Y24="","",INDEX($E$46:$AB$47,2,MATCH(Main!Y24,$E$46:$AB$46,0)))</f>
        <v/>
      </c>
      <c r="Z24" s="21" t="str">
        <f>IF(Main!Z24="","",INDEX($E$46:$AB$47,2,MATCH(Main!Z24,$E$46:$AB$46,0)))</f>
        <v/>
      </c>
      <c r="AA24" s="21" t="str">
        <f>IF(Main!AA24="","",INDEX($E$46:$AB$47,2,MATCH(Main!AA24,$E$46:$AB$46,0)))</f>
        <v/>
      </c>
      <c r="AB24" s="21" t="str">
        <f>IF(Main!AB24="","",INDEX($E$46:$AB$47,2,MATCH(Main!AB24,$E$46:$AB$46,0)))</f>
        <v/>
      </c>
      <c r="AC24" s="21" t="str">
        <f>IF(Main!AC24="","",INDEX($E$46:$AB$47,2,MATCH(Main!AC24,$E$46:$AB$46,0)))</f>
        <v/>
      </c>
      <c r="AD24" s="21" t="str">
        <f>IF(Main!AD24="","",INDEX($E$46:$AB$47,2,MATCH(Main!AD24,$E$46:$AB$46,0)))</f>
        <v/>
      </c>
      <c r="AE24" s="21" t="str">
        <f>IF(Main!AE24="","",INDEX($E$46:$AB$47,2,MATCH(Main!AE24,$E$46:$AB$46,0)))</f>
        <v/>
      </c>
      <c r="AF24" s="21" t="str">
        <f>IF(Main!AF24="","",INDEX($E$46:$AB$47,2,MATCH(Main!AF24,$E$46:$AB$46,0)))</f>
        <v/>
      </c>
      <c r="AG24" s="21" t="str">
        <f>IF(Main!AG24="","",INDEX($E$46:$AB$47,2,MATCH(Main!AG24,$E$46:$AB$46,0)))</f>
        <v/>
      </c>
      <c r="AH24" s="21" t="str">
        <f>IF(Main!AH24="","",INDEX($E$46:$AB$47,2,MATCH(Main!AH24,$E$46:$AB$46,0)))</f>
        <v/>
      </c>
      <c r="AI24" s="21" t="str">
        <f>IF(Main!AI24="","",INDEX($E$46:$AB$47,2,MATCH(Main!AI24,$E$46:$AB$46,0)))</f>
        <v/>
      </c>
      <c r="AJ24" s="21">
        <f>COUNTIF(Main!E24:'Main'!AI24,"К")</f>
        <v>0</v>
      </c>
      <c r="AK24" s="21">
        <f>COUNTIF(Main!E24:'Main'!AI24,"П")</f>
        <v>0</v>
      </c>
      <c r="AL24" s="20">
        <f>COUNTIF(Main!E24:'Main'!AI24,"Б")</f>
        <v>0</v>
      </c>
      <c r="AM24" s="20">
        <f>COUNTIF(Main!E24:'Main'!AI24,"О")</f>
        <v>0</v>
      </c>
      <c r="AN24" s="20">
        <f>COUNTIF(Main!E24:'Main'!AI24,"АО")</f>
        <v>0</v>
      </c>
      <c r="AO24" s="46">
        <f>SUMIF($E$43:$AI$43,"В",Main!E24:'Main'!AI24)</f>
        <v>0</v>
      </c>
      <c r="AP24" s="20"/>
      <c r="AQ24" s="22"/>
      <c r="AR24" s="20">
        <f t="shared" si="0"/>
        <v>5</v>
      </c>
      <c r="AS24" s="46">
        <f t="shared" si="1"/>
        <v>40</v>
      </c>
      <c r="AT24" s="22">
        <v>19</v>
      </c>
      <c r="AU24" s="20">
        <v>152</v>
      </c>
    </row>
    <row r="25" spans="1:47" ht="14.25" customHeight="1" x14ac:dyDescent="0.2">
      <c r="A25" s="23">
        <v>13</v>
      </c>
      <c r="B25" s="23">
        <v>16265</v>
      </c>
      <c r="C25" s="24" t="s">
        <v>75</v>
      </c>
      <c r="D25" s="25" t="s">
        <v>62</v>
      </c>
      <c r="E25" s="21" t="str">
        <f>IF(Main!E25="","",INDEX($E$46:$AB$47,2,MATCH(Main!E25,$E$46:$AB$46,0)))</f>
        <v/>
      </c>
      <c r="F25" s="21">
        <f>IF(Main!F25="","",INDEX($E$46:$AB$47,2,MATCH(Main!F25,$E$46:$AB$46,0)))</f>
        <v>0</v>
      </c>
      <c r="G25" s="21">
        <f>IF(Main!G25="","",INDEX($E$46:$AB$47,2,MATCH(Main!G25,$E$46:$AB$46,0)))</f>
        <v>8</v>
      </c>
      <c r="H25" s="21">
        <f>IF(Main!H25="","",INDEX($E$46:$AB$47,2,MATCH(Main!H25,$E$46:$AB$46,0)))</f>
        <v>8</v>
      </c>
      <c r="I25" s="21">
        <f>IF(Main!I25="","",INDEX($E$46:$AB$47,2,MATCH(Main!I25,$E$46:$AB$46,0)))</f>
        <v>8</v>
      </c>
      <c r="J25" s="21">
        <f>IF(Main!J25="","",INDEX($E$46:$AB$47,2,MATCH(Main!J25,$E$46:$AB$46,0)))</f>
        <v>8</v>
      </c>
      <c r="K25" s="21" t="str">
        <f>IF(Main!K25="","",INDEX($E$46:$AB$47,2,MATCH(Main!K25,$E$46:$AB$46,0)))</f>
        <v/>
      </c>
      <c r="L25" s="21" t="str">
        <f>IF(Main!L25="","",INDEX($E$46:$AB$47,2,MATCH(Main!L25,$E$46:$AB$46,0)))</f>
        <v/>
      </c>
      <c r="M25" s="21" t="str">
        <f>IF(Main!M25="","",INDEX($E$46:$AB$47,2,MATCH(Main!M25,$E$46:$AB$46,0)))</f>
        <v/>
      </c>
      <c r="N25" s="21" t="str">
        <f>IF(Main!N25="","",INDEX($E$46:$AB$47,2,MATCH(Main!N25,$E$46:$AB$46,0)))</f>
        <v/>
      </c>
      <c r="O25" s="21" t="str">
        <f>IF(Main!O25="","",INDEX($E$46:$AB$47,2,MATCH(Main!O25,$E$46:$AB$46,0)))</f>
        <v/>
      </c>
      <c r="P25" s="21" t="str">
        <f>IF(Main!P25="","",INDEX($E$46:$AB$47,2,MATCH(Main!P25,$E$46:$AB$46,0)))</f>
        <v/>
      </c>
      <c r="Q25" s="21" t="str">
        <f>IF(Main!Q25="","",INDEX($E$46:$AB$47,2,MATCH(Main!Q25,$E$46:$AB$46,0)))</f>
        <v/>
      </c>
      <c r="R25" s="21" t="str">
        <f>IF(Main!R25="","",INDEX($E$46:$AB$47,2,MATCH(Main!R25,$E$46:$AB$46,0)))</f>
        <v/>
      </c>
      <c r="S25" s="21" t="str">
        <f>IF(Main!S25="","",INDEX($E$46:$AB$47,2,MATCH(Main!S25,$E$46:$AB$46,0)))</f>
        <v/>
      </c>
      <c r="T25" s="21" t="str">
        <f>IF(Main!T25="","",INDEX($E$46:$AB$47,2,MATCH(Main!T25,$E$46:$AB$46,0)))</f>
        <v/>
      </c>
      <c r="U25" s="21" t="str">
        <f>IF(Main!U25="","",INDEX($E$46:$AB$47,2,MATCH(Main!U25,$E$46:$AB$46,0)))</f>
        <v/>
      </c>
      <c r="V25" s="21" t="str">
        <f>IF(Main!V25="","",INDEX($E$46:$AB$47,2,MATCH(Main!V25,$E$46:$AB$46,0)))</f>
        <v/>
      </c>
      <c r="W25" s="21" t="str">
        <f>IF(Main!W25="","",INDEX($E$46:$AB$47,2,MATCH(Main!W25,$E$46:$AB$46,0)))</f>
        <v/>
      </c>
      <c r="X25" s="21" t="str">
        <f>IF(Main!X25="","",INDEX($E$46:$AB$47,2,MATCH(Main!X25,$E$46:$AB$46,0)))</f>
        <v/>
      </c>
      <c r="Y25" s="21" t="str">
        <f>IF(Main!Y25="","",INDEX($E$46:$AB$47,2,MATCH(Main!Y25,$E$46:$AB$46,0)))</f>
        <v/>
      </c>
      <c r="Z25" s="21" t="str">
        <f>IF(Main!Z25="","",INDEX($E$46:$AB$47,2,MATCH(Main!Z25,$E$46:$AB$46,0)))</f>
        <v/>
      </c>
      <c r="AA25" s="21" t="str">
        <f>IF(Main!AA25="","",INDEX($E$46:$AB$47,2,MATCH(Main!AA25,$E$46:$AB$46,0)))</f>
        <v/>
      </c>
      <c r="AB25" s="21" t="str">
        <f>IF(Main!AB25="","",INDEX($E$46:$AB$47,2,MATCH(Main!AB25,$E$46:$AB$46,0)))</f>
        <v/>
      </c>
      <c r="AC25" s="21" t="str">
        <f>IF(Main!AC25="","",INDEX($E$46:$AB$47,2,MATCH(Main!AC25,$E$46:$AB$46,0)))</f>
        <v/>
      </c>
      <c r="AD25" s="21" t="str">
        <f>IF(Main!AD25="","",INDEX($E$46:$AB$47,2,MATCH(Main!AD25,$E$46:$AB$46,0)))</f>
        <v/>
      </c>
      <c r="AE25" s="21" t="str">
        <f>IF(Main!AE25="","",INDEX($E$46:$AB$47,2,MATCH(Main!AE25,$E$46:$AB$46,0)))</f>
        <v/>
      </c>
      <c r="AF25" s="21" t="str">
        <f>IF(Main!AF25="","",INDEX($E$46:$AB$47,2,MATCH(Main!AF25,$E$46:$AB$46,0)))</f>
        <v/>
      </c>
      <c r="AG25" s="21" t="str">
        <f>IF(Main!AG25="","",INDEX($E$46:$AB$47,2,MATCH(Main!AG25,$E$46:$AB$46,0)))</f>
        <v/>
      </c>
      <c r="AH25" s="21" t="str">
        <f>IF(Main!AH25="","",INDEX($E$46:$AB$47,2,MATCH(Main!AH25,$E$46:$AB$46,0)))</f>
        <v/>
      </c>
      <c r="AI25" s="21" t="str">
        <f>IF(Main!AI25="","",INDEX($E$46:$AB$47,2,MATCH(Main!AI25,$E$46:$AB$46,0)))</f>
        <v/>
      </c>
      <c r="AJ25" s="21">
        <f>COUNTIF(Main!E25:'Main'!AI25,"К")</f>
        <v>0</v>
      </c>
      <c r="AK25" s="21">
        <f>COUNTIF(Main!E25:'Main'!AI25,"П")</f>
        <v>0</v>
      </c>
      <c r="AL25" s="20">
        <f>COUNTIF(Main!E25:'Main'!AI25,"Б")</f>
        <v>0</v>
      </c>
      <c r="AM25" s="20">
        <f>COUNTIF(Main!E25:'Main'!AI25,"О")</f>
        <v>0</v>
      </c>
      <c r="AN25" s="20">
        <f>COUNTIF(Main!E25:'Main'!AI25,"АО")</f>
        <v>0</v>
      </c>
      <c r="AO25" s="46">
        <f>SUMIF($E$43:$AI$43,"В",Main!E25:'Main'!AI25)</f>
        <v>0</v>
      </c>
      <c r="AP25" s="20"/>
      <c r="AQ25" s="22"/>
      <c r="AR25" s="20">
        <f t="shared" si="0"/>
        <v>4</v>
      </c>
      <c r="AS25" s="46">
        <f t="shared" si="1"/>
        <v>32</v>
      </c>
      <c r="AT25" s="22">
        <v>19</v>
      </c>
      <c r="AU25" s="20">
        <v>152</v>
      </c>
    </row>
    <row r="26" spans="1:47" ht="14.25" customHeight="1" x14ac:dyDescent="0.2">
      <c r="A26" s="23">
        <v>14</v>
      </c>
      <c r="B26" s="23">
        <v>83322</v>
      </c>
      <c r="C26" s="24" t="s">
        <v>76</v>
      </c>
      <c r="D26" s="24" t="s">
        <v>66</v>
      </c>
      <c r="E26" s="21" t="str">
        <f>IF(Main!E26="","",INDEX($E$46:$AB$47,2,MATCH(Main!E26,$E$46:$AB$46,0)))</f>
        <v/>
      </c>
      <c r="F26" s="21">
        <f>IF(Main!F26="","",INDEX($E$46:$AB$47,2,MATCH(Main!F26,$E$46:$AB$46,0)))</f>
        <v>8</v>
      </c>
      <c r="G26" s="21">
        <f>IF(Main!G26="","",INDEX($E$46:$AB$47,2,MATCH(Main!G26,$E$46:$AB$46,0)))</f>
        <v>8</v>
      </c>
      <c r="H26" s="21">
        <f>IF(Main!H26="","",INDEX($E$46:$AB$47,2,MATCH(Main!H26,$E$46:$AB$46,0)))</f>
        <v>8</v>
      </c>
      <c r="I26" s="21">
        <f>IF(Main!I26="","",INDEX($E$46:$AB$47,2,MATCH(Main!I26,$E$46:$AB$46,0)))</f>
        <v>8</v>
      </c>
      <c r="J26" s="21">
        <f>IF(Main!J26="","",INDEX($E$46:$AB$47,2,MATCH(Main!J26,$E$46:$AB$46,0)))</f>
        <v>8</v>
      </c>
      <c r="K26" s="21">
        <f>IF(Main!K26="","",INDEX($E$46:$AB$47,2,MATCH(Main!K26,$E$46:$AB$46,0)))</f>
        <v>7</v>
      </c>
      <c r="L26" s="21">
        <f>IF(Main!L26="","",INDEX($E$46:$AB$47,2,MATCH(Main!L26,$E$46:$AB$46,0)))</f>
        <v>7</v>
      </c>
      <c r="M26" s="21" t="str">
        <f>IF(Main!M26="","",INDEX($E$46:$AB$47,2,MATCH(Main!M26,$E$46:$AB$46,0)))</f>
        <v/>
      </c>
      <c r="N26" s="21" t="str">
        <f>IF(Main!N26="","",INDEX($E$46:$AB$47,2,MATCH(Main!N26,$E$46:$AB$46,0)))</f>
        <v/>
      </c>
      <c r="O26" s="21" t="str">
        <f>IF(Main!O26="","",INDEX($E$46:$AB$47,2,MATCH(Main!O26,$E$46:$AB$46,0)))</f>
        <v/>
      </c>
      <c r="P26" s="21" t="str">
        <f>IF(Main!P26="","",INDEX($E$46:$AB$47,2,MATCH(Main!P26,$E$46:$AB$46,0)))</f>
        <v/>
      </c>
      <c r="Q26" s="21" t="str">
        <f>IF(Main!Q26="","",INDEX($E$46:$AB$47,2,MATCH(Main!Q26,$E$46:$AB$46,0)))</f>
        <v/>
      </c>
      <c r="R26" s="21" t="str">
        <f>IF(Main!R26="","",INDEX($E$46:$AB$47,2,MATCH(Main!R26,$E$46:$AB$46,0)))</f>
        <v/>
      </c>
      <c r="S26" s="21" t="str">
        <f>IF(Main!S26="","",INDEX($E$46:$AB$47,2,MATCH(Main!S26,$E$46:$AB$46,0)))</f>
        <v/>
      </c>
      <c r="T26" s="21" t="str">
        <f>IF(Main!T26="","",INDEX($E$46:$AB$47,2,MATCH(Main!T26,$E$46:$AB$46,0)))</f>
        <v/>
      </c>
      <c r="U26" s="21" t="str">
        <f>IF(Main!U26="","",INDEX($E$46:$AB$47,2,MATCH(Main!U26,$E$46:$AB$46,0)))</f>
        <v/>
      </c>
      <c r="V26" s="21" t="str">
        <f>IF(Main!V26="","",INDEX($E$46:$AB$47,2,MATCH(Main!V26,$E$46:$AB$46,0)))</f>
        <v/>
      </c>
      <c r="W26" s="21" t="str">
        <f>IF(Main!W26="","",INDEX($E$46:$AB$47,2,MATCH(Main!W26,$E$46:$AB$46,0)))</f>
        <v/>
      </c>
      <c r="X26" s="21" t="str">
        <f>IF(Main!X26="","",INDEX($E$46:$AB$47,2,MATCH(Main!X26,$E$46:$AB$46,0)))</f>
        <v/>
      </c>
      <c r="Y26" s="21" t="str">
        <f>IF(Main!Y26="","",INDEX($E$46:$AB$47,2,MATCH(Main!Y26,$E$46:$AB$46,0)))</f>
        <v/>
      </c>
      <c r="Z26" s="21" t="str">
        <f>IF(Main!Z26="","",INDEX($E$46:$AB$47,2,MATCH(Main!Z26,$E$46:$AB$46,0)))</f>
        <v/>
      </c>
      <c r="AA26" s="21" t="str">
        <f>IF(Main!AA26="","",INDEX($E$46:$AB$47,2,MATCH(Main!AA26,$E$46:$AB$46,0)))</f>
        <v/>
      </c>
      <c r="AB26" s="21" t="str">
        <f>IF(Main!AB26="","",INDEX($E$46:$AB$47,2,MATCH(Main!AB26,$E$46:$AB$46,0)))</f>
        <v/>
      </c>
      <c r="AC26" s="21" t="str">
        <f>IF(Main!AC26="","",INDEX($E$46:$AB$47,2,MATCH(Main!AC26,$E$46:$AB$46,0)))</f>
        <v/>
      </c>
      <c r="AD26" s="21" t="str">
        <f>IF(Main!AD26="","",INDEX($E$46:$AB$47,2,MATCH(Main!AD26,$E$46:$AB$46,0)))</f>
        <v/>
      </c>
      <c r="AE26" s="21" t="str">
        <f>IF(Main!AE26="","",INDEX($E$46:$AB$47,2,MATCH(Main!AE26,$E$46:$AB$46,0)))</f>
        <v/>
      </c>
      <c r="AF26" s="21" t="str">
        <f>IF(Main!AF26="","",INDEX($E$46:$AB$47,2,MATCH(Main!AF26,$E$46:$AB$46,0)))</f>
        <v/>
      </c>
      <c r="AG26" s="21" t="str">
        <f>IF(Main!AG26="","",INDEX($E$46:$AB$47,2,MATCH(Main!AG26,$E$46:$AB$46,0)))</f>
        <v/>
      </c>
      <c r="AH26" s="21" t="str">
        <f>IF(Main!AH26="","",INDEX($E$46:$AB$47,2,MATCH(Main!AH26,$E$46:$AB$46,0)))</f>
        <v/>
      </c>
      <c r="AI26" s="21" t="str">
        <f>IF(Main!AI26="","",INDEX($E$46:$AB$47,2,MATCH(Main!AI26,$E$46:$AB$46,0)))</f>
        <v/>
      </c>
      <c r="AJ26" s="21">
        <f>COUNTIF(Main!E26:'Main'!AI26,"К")</f>
        <v>0</v>
      </c>
      <c r="AK26" s="21">
        <f>COUNTIF(Main!E26:'Main'!AI26,"П")</f>
        <v>0</v>
      </c>
      <c r="AL26" s="20">
        <f>COUNTIF(Main!E26:'Main'!AI26,"Б")</f>
        <v>0</v>
      </c>
      <c r="AM26" s="20">
        <f>COUNTIF(Main!E26:'Main'!AI26,"О")</f>
        <v>0</v>
      </c>
      <c r="AN26" s="20">
        <f>COUNTIF(Main!E26:'Main'!AI26,"АО")</f>
        <v>0</v>
      </c>
      <c r="AO26" s="46">
        <f>SUMIF($E$43:$AI$43,"В",Main!E26:'Main'!AI26)</f>
        <v>14</v>
      </c>
      <c r="AP26" s="20"/>
      <c r="AQ26" s="22"/>
      <c r="AR26" s="20">
        <f t="shared" si="0"/>
        <v>7</v>
      </c>
      <c r="AS26" s="46">
        <f t="shared" si="1"/>
        <v>54</v>
      </c>
      <c r="AT26" s="22">
        <v>19</v>
      </c>
      <c r="AU26" s="20">
        <v>152</v>
      </c>
    </row>
    <row r="27" spans="1:47" ht="14.25" customHeight="1" x14ac:dyDescent="0.2">
      <c r="A27" s="23">
        <v>15</v>
      </c>
      <c r="B27" s="23">
        <v>63189</v>
      </c>
      <c r="C27" s="24" t="s">
        <v>77</v>
      </c>
      <c r="D27" s="24" t="s">
        <v>78</v>
      </c>
      <c r="E27" s="21" t="str">
        <f>IF(Main!E27="","",INDEX($E$46:$AB$47,2,MATCH(Main!E27,$E$46:$AB$46,0)))</f>
        <v/>
      </c>
      <c r="F27" s="21">
        <f>IF(Main!F27="","",INDEX($E$46:$AB$47,2,MATCH(Main!F27,$E$46:$AB$46,0)))</f>
        <v>8</v>
      </c>
      <c r="G27" s="21">
        <f>IF(Main!G27="","",INDEX($E$46:$AB$47,2,MATCH(Main!G27,$E$46:$AB$46,0)))</f>
        <v>8</v>
      </c>
      <c r="H27" s="21">
        <f>IF(Main!H27="","",INDEX($E$46:$AB$47,2,MATCH(Main!H27,$E$46:$AB$46,0)))</f>
        <v>8</v>
      </c>
      <c r="I27" s="21">
        <f>IF(Main!I27="","",INDEX($E$46:$AB$47,2,MATCH(Main!I27,$E$46:$AB$46,0)))</f>
        <v>8</v>
      </c>
      <c r="J27" s="21">
        <f>IF(Main!J27="","",INDEX($E$46:$AB$47,2,MATCH(Main!J27,$E$46:$AB$46,0)))</f>
        <v>8</v>
      </c>
      <c r="K27" s="21" t="str">
        <f>IF(Main!K27="","",INDEX($E$46:$AB$47,2,MATCH(Main!K27,$E$46:$AB$46,0)))</f>
        <v/>
      </c>
      <c r="L27" s="21" t="str">
        <f>IF(Main!L27="","",INDEX($E$46:$AB$47,2,MATCH(Main!L27,$E$46:$AB$46,0)))</f>
        <v/>
      </c>
      <c r="M27" s="21" t="str">
        <f>IF(Main!M27="","",INDEX($E$46:$AB$47,2,MATCH(Main!M27,$E$46:$AB$46,0)))</f>
        <v/>
      </c>
      <c r="N27" s="21" t="str">
        <f>IF(Main!N27="","",INDEX($E$46:$AB$47,2,MATCH(Main!N27,$E$46:$AB$46,0)))</f>
        <v/>
      </c>
      <c r="O27" s="21" t="str">
        <f>IF(Main!O27="","",INDEX($E$46:$AB$47,2,MATCH(Main!O27,$E$46:$AB$46,0)))</f>
        <v/>
      </c>
      <c r="P27" s="21" t="str">
        <f>IF(Main!P27="","",INDEX($E$46:$AB$47,2,MATCH(Main!P27,$E$46:$AB$46,0)))</f>
        <v/>
      </c>
      <c r="Q27" s="21" t="str">
        <f>IF(Main!Q27="","",INDEX($E$46:$AB$47,2,MATCH(Main!Q27,$E$46:$AB$46,0)))</f>
        <v/>
      </c>
      <c r="R27" s="21" t="str">
        <f>IF(Main!R27="","",INDEX($E$46:$AB$47,2,MATCH(Main!R27,$E$46:$AB$46,0)))</f>
        <v/>
      </c>
      <c r="S27" s="21" t="str">
        <f>IF(Main!S27="","",INDEX($E$46:$AB$47,2,MATCH(Main!S27,$E$46:$AB$46,0)))</f>
        <v/>
      </c>
      <c r="T27" s="21" t="str">
        <f>IF(Main!T27="","",INDEX($E$46:$AB$47,2,MATCH(Main!T27,$E$46:$AB$46,0)))</f>
        <v/>
      </c>
      <c r="U27" s="21" t="str">
        <f>IF(Main!U27="","",INDEX($E$46:$AB$47,2,MATCH(Main!U27,$E$46:$AB$46,0)))</f>
        <v/>
      </c>
      <c r="V27" s="21" t="str">
        <f>IF(Main!V27="","",INDEX($E$46:$AB$47,2,MATCH(Main!V27,$E$46:$AB$46,0)))</f>
        <v/>
      </c>
      <c r="W27" s="21" t="str">
        <f>IF(Main!W27="","",INDEX($E$46:$AB$47,2,MATCH(Main!W27,$E$46:$AB$46,0)))</f>
        <v/>
      </c>
      <c r="X27" s="21" t="str">
        <f>IF(Main!X27="","",INDEX($E$46:$AB$47,2,MATCH(Main!X27,$E$46:$AB$46,0)))</f>
        <v/>
      </c>
      <c r="Y27" s="21" t="str">
        <f>IF(Main!Y27="","",INDEX($E$46:$AB$47,2,MATCH(Main!Y27,$E$46:$AB$46,0)))</f>
        <v/>
      </c>
      <c r="Z27" s="21" t="str">
        <f>IF(Main!Z27="","",INDEX($E$46:$AB$47,2,MATCH(Main!Z27,$E$46:$AB$46,0)))</f>
        <v/>
      </c>
      <c r="AA27" s="21" t="str">
        <f>IF(Main!AA27="","",INDEX($E$46:$AB$47,2,MATCH(Main!AA27,$E$46:$AB$46,0)))</f>
        <v/>
      </c>
      <c r="AB27" s="21" t="str">
        <f>IF(Main!AB27="","",INDEX($E$46:$AB$47,2,MATCH(Main!AB27,$E$46:$AB$46,0)))</f>
        <v/>
      </c>
      <c r="AC27" s="21" t="str">
        <f>IF(Main!AC27="","",INDEX($E$46:$AB$47,2,MATCH(Main!AC27,$E$46:$AB$46,0)))</f>
        <v/>
      </c>
      <c r="AD27" s="21" t="str">
        <f>IF(Main!AD27="","",INDEX($E$46:$AB$47,2,MATCH(Main!AD27,$E$46:$AB$46,0)))</f>
        <v/>
      </c>
      <c r="AE27" s="21" t="str">
        <f>IF(Main!AE27="","",INDEX($E$46:$AB$47,2,MATCH(Main!AE27,$E$46:$AB$46,0)))</f>
        <v/>
      </c>
      <c r="AF27" s="21" t="str">
        <f>IF(Main!AF27="","",INDEX($E$46:$AB$47,2,MATCH(Main!AF27,$E$46:$AB$46,0)))</f>
        <v/>
      </c>
      <c r="AG27" s="21" t="str">
        <f>IF(Main!AG27="","",INDEX($E$46:$AB$47,2,MATCH(Main!AG27,$E$46:$AB$46,0)))</f>
        <v/>
      </c>
      <c r="AH27" s="21" t="str">
        <f>IF(Main!AH27="","",INDEX($E$46:$AB$47,2,MATCH(Main!AH27,$E$46:$AB$46,0)))</f>
        <v/>
      </c>
      <c r="AI27" s="21" t="str">
        <f>IF(Main!AI27="","",INDEX($E$46:$AB$47,2,MATCH(Main!AI27,$E$46:$AB$46,0)))</f>
        <v/>
      </c>
      <c r="AJ27" s="21">
        <f>COUNTIF(Main!E27:'Main'!AI27,"К")</f>
        <v>0</v>
      </c>
      <c r="AK27" s="21">
        <f>COUNTIF(Main!E27:'Main'!AI27,"П")</f>
        <v>0</v>
      </c>
      <c r="AL27" s="20">
        <f>COUNTIF(Main!E27:'Main'!AI27,"Б")</f>
        <v>0</v>
      </c>
      <c r="AM27" s="20">
        <f>COUNTIF(Main!E27:'Main'!AI27,"О")</f>
        <v>0</v>
      </c>
      <c r="AN27" s="20">
        <f>COUNTIF(Main!E27:'Main'!AI27,"АО")</f>
        <v>0</v>
      </c>
      <c r="AO27" s="46">
        <f>SUMIF($E$43:$AI$43,"В",Main!E27:'Main'!AI27)</f>
        <v>0</v>
      </c>
      <c r="AP27" s="20"/>
      <c r="AQ27" s="22"/>
      <c r="AR27" s="20">
        <f t="shared" si="0"/>
        <v>5</v>
      </c>
      <c r="AS27" s="46">
        <f t="shared" si="1"/>
        <v>40</v>
      </c>
      <c r="AT27" s="22">
        <v>19</v>
      </c>
      <c r="AU27" s="20">
        <v>152</v>
      </c>
    </row>
    <row r="28" spans="1:47" ht="14.25" customHeight="1" x14ac:dyDescent="0.2">
      <c r="A28" s="23">
        <v>16</v>
      </c>
      <c r="B28" s="23">
        <v>12368</v>
      </c>
      <c r="C28" s="24" t="s">
        <v>79</v>
      </c>
      <c r="D28" s="24" t="s">
        <v>80</v>
      </c>
      <c r="E28" s="21" t="str">
        <f>IF(Main!E28="","",INDEX($E$46:$AB$47,2,MATCH(Main!E28,$E$46:$AB$46,0)))</f>
        <v/>
      </c>
      <c r="F28" s="21">
        <f>IF(Main!F28="","",INDEX($E$46:$AB$47,2,MATCH(Main!F28,$E$46:$AB$46,0)))</f>
        <v>8</v>
      </c>
      <c r="G28" s="21">
        <f>IF(Main!G28="","",INDEX($E$46:$AB$47,2,MATCH(Main!G28,$E$46:$AB$46,0)))</f>
        <v>8</v>
      </c>
      <c r="H28" s="21">
        <f>IF(Main!H28="","",INDEX($E$46:$AB$47,2,MATCH(Main!H28,$E$46:$AB$46,0)))</f>
        <v>8</v>
      </c>
      <c r="I28" s="21">
        <f>IF(Main!I28="","",INDEX($E$46:$AB$47,2,MATCH(Main!I28,$E$46:$AB$46,0)))</f>
        <v>8</v>
      </c>
      <c r="J28" s="21">
        <f>IF(Main!J28="","",INDEX($E$46:$AB$47,2,MATCH(Main!J28,$E$46:$AB$46,0)))</f>
        <v>8</v>
      </c>
      <c r="K28" s="21" t="str">
        <f>IF(Main!K28="","",INDEX($E$46:$AB$47,2,MATCH(Main!K28,$E$46:$AB$46,0)))</f>
        <v/>
      </c>
      <c r="L28" s="21" t="str">
        <f>IF(Main!L28="","",INDEX($E$46:$AB$47,2,MATCH(Main!L28,$E$46:$AB$46,0)))</f>
        <v/>
      </c>
      <c r="M28" s="21" t="str">
        <f>IF(Main!M28="","",INDEX($E$46:$AB$47,2,MATCH(Main!M28,$E$46:$AB$46,0)))</f>
        <v/>
      </c>
      <c r="N28" s="21" t="str">
        <f>IF(Main!N28="","",INDEX($E$46:$AB$47,2,MATCH(Main!N28,$E$46:$AB$46,0)))</f>
        <v/>
      </c>
      <c r="O28" s="21" t="str">
        <f>IF(Main!O28="","",INDEX($E$46:$AB$47,2,MATCH(Main!O28,$E$46:$AB$46,0)))</f>
        <v/>
      </c>
      <c r="P28" s="21" t="str">
        <f>IF(Main!P28="","",INDEX($E$46:$AB$47,2,MATCH(Main!P28,$E$46:$AB$46,0)))</f>
        <v/>
      </c>
      <c r="Q28" s="21" t="str">
        <f>IF(Main!Q28="","",INDEX($E$46:$AB$47,2,MATCH(Main!Q28,$E$46:$AB$46,0)))</f>
        <v/>
      </c>
      <c r="R28" s="21" t="str">
        <f>IF(Main!R28="","",INDEX($E$46:$AB$47,2,MATCH(Main!R28,$E$46:$AB$46,0)))</f>
        <v/>
      </c>
      <c r="S28" s="21" t="str">
        <f>IF(Main!S28="","",INDEX($E$46:$AB$47,2,MATCH(Main!S28,$E$46:$AB$46,0)))</f>
        <v/>
      </c>
      <c r="T28" s="21" t="str">
        <f>IF(Main!T28="","",INDEX($E$46:$AB$47,2,MATCH(Main!T28,$E$46:$AB$46,0)))</f>
        <v/>
      </c>
      <c r="U28" s="21" t="str">
        <f>IF(Main!U28="","",INDEX($E$46:$AB$47,2,MATCH(Main!U28,$E$46:$AB$46,0)))</f>
        <v/>
      </c>
      <c r="V28" s="21" t="str">
        <f>IF(Main!V28="","",INDEX($E$46:$AB$47,2,MATCH(Main!V28,$E$46:$AB$46,0)))</f>
        <v/>
      </c>
      <c r="W28" s="21" t="str">
        <f>IF(Main!W28="","",INDEX($E$46:$AB$47,2,MATCH(Main!W28,$E$46:$AB$46,0)))</f>
        <v/>
      </c>
      <c r="X28" s="21" t="str">
        <f>IF(Main!X28="","",INDEX($E$46:$AB$47,2,MATCH(Main!X28,$E$46:$AB$46,0)))</f>
        <v/>
      </c>
      <c r="Y28" s="21" t="str">
        <f>IF(Main!Y28="","",INDEX($E$46:$AB$47,2,MATCH(Main!Y28,$E$46:$AB$46,0)))</f>
        <v/>
      </c>
      <c r="Z28" s="21" t="str">
        <f>IF(Main!Z28="","",INDEX($E$46:$AB$47,2,MATCH(Main!Z28,$E$46:$AB$46,0)))</f>
        <v/>
      </c>
      <c r="AA28" s="21" t="str">
        <f>IF(Main!AA28="","",INDEX($E$46:$AB$47,2,MATCH(Main!AA28,$E$46:$AB$46,0)))</f>
        <v/>
      </c>
      <c r="AB28" s="21" t="str">
        <f>IF(Main!AB28="","",INDEX($E$46:$AB$47,2,MATCH(Main!AB28,$E$46:$AB$46,0)))</f>
        <v/>
      </c>
      <c r="AC28" s="21" t="str">
        <f>IF(Main!AC28="","",INDEX($E$46:$AB$47,2,MATCH(Main!AC28,$E$46:$AB$46,0)))</f>
        <v/>
      </c>
      <c r="AD28" s="21" t="str">
        <f>IF(Main!AD28="","",INDEX($E$46:$AB$47,2,MATCH(Main!AD28,$E$46:$AB$46,0)))</f>
        <v/>
      </c>
      <c r="AE28" s="21" t="str">
        <f>IF(Main!AE28="","",INDEX($E$46:$AB$47,2,MATCH(Main!AE28,$E$46:$AB$46,0)))</f>
        <v/>
      </c>
      <c r="AF28" s="21" t="str">
        <f>IF(Main!AF28="","",INDEX($E$46:$AB$47,2,MATCH(Main!AF28,$E$46:$AB$46,0)))</f>
        <v/>
      </c>
      <c r="AG28" s="21" t="str">
        <f>IF(Main!AG28="","",INDEX($E$46:$AB$47,2,MATCH(Main!AG28,$E$46:$AB$46,0)))</f>
        <v/>
      </c>
      <c r="AH28" s="21" t="str">
        <f>IF(Main!AH28="","",INDEX($E$46:$AB$47,2,MATCH(Main!AH28,$E$46:$AB$46,0)))</f>
        <v/>
      </c>
      <c r="AI28" s="21" t="str">
        <f>IF(Main!AI28="","",INDEX($E$46:$AB$47,2,MATCH(Main!AI28,$E$46:$AB$46,0)))</f>
        <v/>
      </c>
      <c r="AJ28" s="21">
        <f>COUNTIF(Main!E28:'Main'!AI28,"К")</f>
        <v>0</v>
      </c>
      <c r="AK28" s="21">
        <f>COUNTIF(Main!E28:'Main'!AI28,"П")</f>
        <v>0</v>
      </c>
      <c r="AL28" s="20">
        <f>COUNTIF(Main!E28:'Main'!AI28,"Б")</f>
        <v>0</v>
      </c>
      <c r="AM28" s="20">
        <f>COUNTIF(Main!E28:'Main'!AI28,"О")</f>
        <v>0</v>
      </c>
      <c r="AN28" s="20">
        <f>COUNTIF(Main!E28:'Main'!AI28,"АО")</f>
        <v>0</v>
      </c>
      <c r="AO28" s="46">
        <f>SUMIF($E$43:$AI$43,"В",Main!E28:'Main'!AI28)</f>
        <v>0</v>
      </c>
      <c r="AP28" s="20"/>
      <c r="AQ28" s="22"/>
      <c r="AR28" s="20">
        <f t="shared" si="0"/>
        <v>5</v>
      </c>
      <c r="AS28" s="46">
        <f t="shared" si="1"/>
        <v>40</v>
      </c>
      <c r="AT28" s="22">
        <v>19</v>
      </c>
      <c r="AU28" s="20">
        <v>152</v>
      </c>
    </row>
    <row r="29" spans="1:47" ht="14.25" customHeight="1" x14ac:dyDescent="0.2">
      <c r="A29" s="23">
        <v>17</v>
      </c>
      <c r="B29" s="23">
        <v>12512</v>
      </c>
      <c r="C29" s="24" t="s">
        <v>81</v>
      </c>
      <c r="D29" s="24" t="s">
        <v>80</v>
      </c>
      <c r="E29" s="21" t="str">
        <f>IF(Main!E29="","",INDEX($E$46:$AB$47,2,MATCH(Main!E29,$E$46:$AB$46,0)))</f>
        <v/>
      </c>
      <c r="F29" s="21">
        <f>IF(Main!F29="","",INDEX($E$46:$AB$47,2,MATCH(Main!F29,$E$46:$AB$46,0)))</f>
        <v>8</v>
      </c>
      <c r="G29" s="21">
        <f>IF(Main!G29="","",INDEX($E$46:$AB$47,2,MATCH(Main!G29,$E$46:$AB$46,0)))</f>
        <v>8</v>
      </c>
      <c r="H29" s="21">
        <f>IF(Main!H29="","",INDEX($E$46:$AB$47,2,MATCH(Main!H29,$E$46:$AB$46,0)))</f>
        <v>8</v>
      </c>
      <c r="I29" s="21">
        <f>IF(Main!I29="","",INDEX($E$46:$AB$47,2,MATCH(Main!I29,$E$46:$AB$46,0)))</f>
        <v>8</v>
      </c>
      <c r="J29" s="21">
        <f>IF(Main!J29="","",INDEX($E$46:$AB$47,2,MATCH(Main!J29,$E$46:$AB$46,0)))</f>
        <v>8</v>
      </c>
      <c r="K29" s="21" t="str">
        <f>IF(Main!K29="","",INDEX($E$46:$AB$47,2,MATCH(Main!K29,$E$46:$AB$46,0)))</f>
        <v/>
      </c>
      <c r="L29" s="21" t="str">
        <f>IF(Main!L29="","",INDEX($E$46:$AB$47,2,MATCH(Main!L29,$E$46:$AB$46,0)))</f>
        <v/>
      </c>
      <c r="M29" s="21" t="str">
        <f>IF(Main!M29="","",INDEX($E$46:$AB$47,2,MATCH(Main!M29,$E$46:$AB$46,0)))</f>
        <v/>
      </c>
      <c r="N29" s="21" t="str">
        <f>IF(Main!N29="","",INDEX($E$46:$AB$47,2,MATCH(Main!N29,$E$46:$AB$46,0)))</f>
        <v/>
      </c>
      <c r="O29" s="21" t="str">
        <f>IF(Main!O29="","",INDEX($E$46:$AB$47,2,MATCH(Main!O29,$E$46:$AB$46,0)))</f>
        <v/>
      </c>
      <c r="P29" s="21" t="str">
        <f>IF(Main!P29="","",INDEX($E$46:$AB$47,2,MATCH(Main!P29,$E$46:$AB$46,0)))</f>
        <v/>
      </c>
      <c r="Q29" s="21" t="str">
        <f>IF(Main!Q29="","",INDEX($E$46:$AB$47,2,MATCH(Main!Q29,$E$46:$AB$46,0)))</f>
        <v/>
      </c>
      <c r="R29" s="21" t="str">
        <f>IF(Main!R29="","",INDEX($E$46:$AB$47,2,MATCH(Main!R29,$E$46:$AB$46,0)))</f>
        <v/>
      </c>
      <c r="S29" s="21" t="str">
        <f>IF(Main!S29="","",INDEX($E$46:$AB$47,2,MATCH(Main!S29,$E$46:$AB$46,0)))</f>
        <v/>
      </c>
      <c r="T29" s="21" t="str">
        <f>IF(Main!T29="","",INDEX($E$46:$AB$47,2,MATCH(Main!T29,$E$46:$AB$46,0)))</f>
        <v/>
      </c>
      <c r="U29" s="21" t="str">
        <f>IF(Main!U29="","",INDEX($E$46:$AB$47,2,MATCH(Main!U29,$E$46:$AB$46,0)))</f>
        <v/>
      </c>
      <c r="V29" s="21" t="str">
        <f>IF(Main!V29="","",INDEX($E$46:$AB$47,2,MATCH(Main!V29,$E$46:$AB$46,0)))</f>
        <v/>
      </c>
      <c r="W29" s="21" t="str">
        <f>IF(Main!W29="","",INDEX($E$46:$AB$47,2,MATCH(Main!W29,$E$46:$AB$46,0)))</f>
        <v/>
      </c>
      <c r="X29" s="21" t="str">
        <f>IF(Main!X29="","",INDEX($E$46:$AB$47,2,MATCH(Main!X29,$E$46:$AB$46,0)))</f>
        <v/>
      </c>
      <c r="Y29" s="21" t="str">
        <f>IF(Main!Y29="","",INDEX($E$46:$AB$47,2,MATCH(Main!Y29,$E$46:$AB$46,0)))</f>
        <v/>
      </c>
      <c r="Z29" s="21" t="str">
        <f>IF(Main!Z29="","",INDEX($E$46:$AB$47,2,MATCH(Main!Z29,$E$46:$AB$46,0)))</f>
        <v/>
      </c>
      <c r="AA29" s="21" t="str">
        <f>IF(Main!AA29="","",INDEX($E$46:$AB$47,2,MATCH(Main!AA29,$E$46:$AB$46,0)))</f>
        <v/>
      </c>
      <c r="AB29" s="21" t="str">
        <f>IF(Main!AB29="","",INDEX($E$46:$AB$47,2,MATCH(Main!AB29,$E$46:$AB$46,0)))</f>
        <v/>
      </c>
      <c r="AC29" s="21" t="str">
        <f>IF(Main!AC29="","",INDEX($E$46:$AB$47,2,MATCH(Main!AC29,$E$46:$AB$46,0)))</f>
        <v/>
      </c>
      <c r="AD29" s="21" t="str">
        <f>IF(Main!AD29="","",INDEX($E$46:$AB$47,2,MATCH(Main!AD29,$E$46:$AB$46,0)))</f>
        <v/>
      </c>
      <c r="AE29" s="21" t="str">
        <f>IF(Main!AE29="","",INDEX($E$46:$AB$47,2,MATCH(Main!AE29,$E$46:$AB$46,0)))</f>
        <v/>
      </c>
      <c r="AF29" s="21" t="str">
        <f>IF(Main!AF29="","",INDEX($E$46:$AB$47,2,MATCH(Main!AF29,$E$46:$AB$46,0)))</f>
        <v/>
      </c>
      <c r="AG29" s="21" t="str">
        <f>IF(Main!AG29="","",INDEX($E$46:$AB$47,2,MATCH(Main!AG29,$E$46:$AB$46,0)))</f>
        <v/>
      </c>
      <c r="AH29" s="21" t="str">
        <f>IF(Main!AH29="","",INDEX($E$46:$AB$47,2,MATCH(Main!AH29,$E$46:$AB$46,0)))</f>
        <v/>
      </c>
      <c r="AI29" s="21" t="str">
        <f>IF(Main!AI29="","",INDEX($E$46:$AB$47,2,MATCH(Main!AI29,$E$46:$AB$46,0)))</f>
        <v/>
      </c>
      <c r="AJ29" s="21">
        <f>COUNTIF(Main!E29:'Main'!AI29,"К")</f>
        <v>0</v>
      </c>
      <c r="AK29" s="21">
        <f>COUNTIF(Main!E29:'Main'!AI29,"П")</f>
        <v>0</v>
      </c>
      <c r="AL29" s="20">
        <f>COUNTIF(Main!E29:'Main'!AI29,"Б")</f>
        <v>0</v>
      </c>
      <c r="AM29" s="20">
        <f>COUNTIF(Main!E29:'Main'!AI29,"О")</f>
        <v>0</v>
      </c>
      <c r="AN29" s="20">
        <f>COUNTIF(Main!E29:'Main'!AI29,"АО")</f>
        <v>0</v>
      </c>
      <c r="AO29" s="46">
        <f>SUMIF($E$43:$AI$43,"В",Main!E29:'Main'!AI29)</f>
        <v>0</v>
      </c>
      <c r="AP29" s="20"/>
      <c r="AQ29" s="22"/>
      <c r="AR29" s="20">
        <f t="shared" si="0"/>
        <v>5</v>
      </c>
      <c r="AS29" s="46">
        <f t="shared" si="1"/>
        <v>40</v>
      </c>
      <c r="AT29" s="22">
        <v>19</v>
      </c>
      <c r="AU29" s="20">
        <v>152</v>
      </c>
    </row>
    <row r="30" spans="1:47" ht="14.25" customHeight="1" x14ac:dyDescent="0.2">
      <c r="A30" s="23"/>
      <c r="B30" s="101" t="s">
        <v>82</v>
      </c>
      <c r="C30" s="92"/>
      <c r="D30" s="93"/>
      <c r="E30" s="21" t="str">
        <f>IF(Main!E30="","",INDEX($E$46:$AB$47,2,MATCH(Main!E30,$E$46:$AB$46,0)))</f>
        <v/>
      </c>
      <c r="F30" s="21" t="str">
        <f>IF(Main!F30="","",INDEX($E$46:$AB$47,2,MATCH(Main!F30,$E$46:$AB$46,0)))</f>
        <v/>
      </c>
      <c r="G30" s="21" t="str">
        <f>IF(Main!G30="","",INDEX($E$46:$AB$47,2,MATCH(Main!G30,$E$46:$AB$46,0)))</f>
        <v/>
      </c>
      <c r="H30" s="21" t="str">
        <f>IF(Main!H30="","",INDEX($E$46:$AB$47,2,MATCH(Main!H30,$E$46:$AB$46,0)))</f>
        <v/>
      </c>
      <c r="I30" s="21" t="str">
        <f>IF(Main!I30="","",INDEX($E$46:$AB$47,2,MATCH(Main!I30,$E$46:$AB$46,0)))</f>
        <v/>
      </c>
      <c r="J30" s="21" t="str">
        <f>IF(Main!J30="","",INDEX($E$46:$AB$47,2,MATCH(Main!J30,$E$46:$AB$46,0)))</f>
        <v/>
      </c>
      <c r="K30" s="21" t="str">
        <f>IF(Main!K30="","",INDEX($E$46:$AB$47,2,MATCH(Main!K30,$E$46:$AB$46,0)))</f>
        <v/>
      </c>
      <c r="L30" s="21" t="str">
        <f>IF(Main!L30="","",INDEX($E$46:$AB$47,2,MATCH(Main!L30,$E$46:$AB$46,0)))</f>
        <v/>
      </c>
      <c r="M30" s="21" t="str">
        <f>IF(Main!M30="","",INDEX($E$46:$AB$47,2,MATCH(Main!M30,$E$46:$AB$46,0)))</f>
        <v/>
      </c>
      <c r="N30" s="21" t="str">
        <f>IF(Main!N30="","",INDEX($E$46:$AB$47,2,MATCH(Main!N30,$E$46:$AB$46,0)))</f>
        <v/>
      </c>
      <c r="O30" s="21" t="str">
        <f>IF(Main!O30="","",INDEX($E$46:$AB$47,2,MATCH(Main!O30,$E$46:$AB$46,0)))</f>
        <v/>
      </c>
      <c r="P30" s="21" t="str">
        <f>IF(Main!P30="","",INDEX($E$46:$AB$47,2,MATCH(Main!P30,$E$46:$AB$46,0)))</f>
        <v/>
      </c>
      <c r="Q30" s="21" t="str">
        <f>IF(Main!Q30="","",INDEX($E$46:$AB$47,2,MATCH(Main!Q30,$E$46:$AB$46,0)))</f>
        <v/>
      </c>
      <c r="R30" s="21" t="str">
        <f>IF(Main!R30="","",INDEX($E$46:$AB$47,2,MATCH(Main!R30,$E$46:$AB$46,0)))</f>
        <v/>
      </c>
      <c r="S30" s="21" t="str">
        <f>IF(Main!S30="","",INDEX($E$46:$AB$47,2,MATCH(Main!S30,$E$46:$AB$46,0)))</f>
        <v/>
      </c>
      <c r="T30" s="21" t="str">
        <f>IF(Main!T30="","",INDEX($E$46:$AB$47,2,MATCH(Main!T30,$E$46:$AB$46,0)))</f>
        <v/>
      </c>
      <c r="U30" s="21" t="str">
        <f>IF(Main!U30="","",INDEX($E$46:$AB$47,2,MATCH(Main!U30,$E$46:$AB$46,0)))</f>
        <v/>
      </c>
      <c r="V30" s="21" t="str">
        <f>IF(Main!V30="","",INDEX($E$46:$AB$47,2,MATCH(Main!V30,$E$46:$AB$46,0)))</f>
        <v/>
      </c>
      <c r="W30" s="21" t="str">
        <f>IF(Main!W30="","",INDEX($E$46:$AB$47,2,MATCH(Main!W30,$E$46:$AB$46,0)))</f>
        <v/>
      </c>
      <c r="X30" s="21" t="str">
        <f>IF(Main!X30="","",INDEX($E$46:$AB$47,2,MATCH(Main!X30,$E$46:$AB$46,0)))</f>
        <v/>
      </c>
      <c r="Y30" s="21" t="str">
        <f>IF(Main!Y30="","",INDEX($E$46:$AB$47,2,MATCH(Main!Y30,$E$46:$AB$46,0)))</f>
        <v/>
      </c>
      <c r="Z30" s="21" t="str">
        <f>IF(Main!Z30="","",INDEX($E$46:$AB$47,2,MATCH(Main!Z30,$E$46:$AB$46,0)))</f>
        <v/>
      </c>
      <c r="AA30" s="21" t="str">
        <f>IF(Main!AA30="","",INDEX($E$46:$AB$47,2,MATCH(Main!AA30,$E$46:$AB$46,0)))</f>
        <v/>
      </c>
      <c r="AB30" s="21" t="str">
        <f>IF(Main!AB30="","",INDEX($E$46:$AB$47,2,MATCH(Main!AB30,$E$46:$AB$46,0)))</f>
        <v/>
      </c>
      <c r="AC30" s="21" t="str">
        <f>IF(Main!AC30="","",INDEX($E$46:$AB$47,2,MATCH(Main!AC30,$E$46:$AB$46,0)))</f>
        <v/>
      </c>
      <c r="AD30" s="21" t="str">
        <f>IF(Main!AD30="","",INDEX($E$46:$AB$47,2,MATCH(Main!AD30,$E$46:$AB$46,0)))</f>
        <v/>
      </c>
      <c r="AE30" s="21" t="str">
        <f>IF(Main!AE30="","",INDEX($E$46:$AB$47,2,MATCH(Main!AE30,$E$46:$AB$46,0)))</f>
        <v/>
      </c>
      <c r="AF30" s="21" t="str">
        <f>IF(Main!AF30="","",INDEX($E$46:$AB$47,2,MATCH(Main!AF30,$E$46:$AB$46,0)))</f>
        <v/>
      </c>
      <c r="AG30" s="21" t="str">
        <f>IF(Main!AG30="","",INDEX($E$46:$AB$47,2,MATCH(Main!AG30,$E$46:$AB$46,0)))</f>
        <v/>
      </c>
      <c r="AH30" s="21" t="str">
        <f>IF(Main!AH30="","",INDEX($E$46:$AB$47,2,MATCH(Main!AH30,$E$46:$AB$46,0)))</f>
        <v/>
      </c>
      <c r="AI30" s="21" t="str">
        <f>IF(Main!AI30="","",INDEX($E$46:$AB$47,2,MATCH(Main!AI30,$E$46:$AB$46,0)))</f>
        <v/>
      </c>
      <c r="AJ30" s="21">
        <f>COUNTIF(Main!E30:'Main'!AI30,"К")</f>
        <v>0</v>
      </c>
      <c r="AK30" s="21">
        <f>COUNTIF(Main!E30:'Main'!AI30,"П")</f>
        <v>0</v>
      </c>
      <c r="AL30" s="20">
        <f>COUNTIF(Main!E30:'Main'!AI30,"Б")</f>
        <v>0</v>
      </c>
      <c r="AM30" s="20">
        <f>COUNTIF(Main!E30:'Main'!AI30,"О")</f>
        <v>0</v>
      </c>
      <c r="AN30" s="20">
        <f>COUNTIF(Main!E30:'Main'!AI30,"АО")</f>
        <v>0</v>
      </c>
      <c r="AO30" s="46">
        <f>SUMIF($E$43:$AI$43,"В",Main!E30:'Main'!AI30)</f>
        <v>0</v>
      </c>
      <c r="AP30" s="20"/>
      <c r="AQ30" s="22"/>
      <c r="AR30" s="20">
        <f t="shared" si="0"/>
        <v>0</v>
      </c>
      <c r="AS30" s="46">
        <f t="shared" si="1"/>
        <v>0</v>
      </c>
      <c r="AT30" s="22">
        <v>19</v>
      </c>
      <c r="AU30" s="20">
        <v>152</v>
      </c>
    </row>
    <row r="31" spans="1:47" ht="14.25" customHeight="1" x14ac:dyDescent="0.2">
      <c r="A31" s="23">
        <v>18</v>
      </c>
      <c r="B31" s="23">
        <v>39962</v>
      </c>
      <c r="C31" s="24" t="s">
        <v>83</v>
      </c>
      <c r="D31" s="25" t="s">
        <v>66</v>
      </c>
      <c r="E31" s="21" t="str">
        <f>IF(Main!E31="","",INDEX($E$46:$AB$47,2,MATCH(Main!E31,$E$46:$AB$46,0)))</f>
        <v/>
      </c>
      <c r="F31" s="21">
        <f>IF(Main!F31="","",INDEX($E$46:$AB$47,2,MATCH(Main!F31,$E$46:$AB$46,0)))</f>
        <v>8</v>
      </c>
      <c r="G31" s="21">
        <f>IF(Main!G31="","",INDEX($E$46:$AB$47,2,MATCH(Main!G31,$E$46:$AB$46,0)))</f>
        <v>8</v>
      </c>
      <c r="H31" s="21">
        <f>IF(Main!H31="","",INDEX($E$46:$AB$47,2,MATCH(Main!H31,$E$46:$AB$46,0)))</f>
        <v>4</v>
      </c>
      <c r="I31" s="21">
        <f>IF(Main!I31="","",INDEX($E$46:$AB$47,2,MATCH(Main!I31,$E$46:$AB$46,0)))</f>
        <v>8</v>
      </c>
      <c r="J31" s="21">
        <f>IF(Main!J31="","",INDEX($E$46:$AB$47,2,MATCH(Main!J31,$E$46:$AB$46,0)))</f>
        <v>8</v>
      </c>
      <c r="K31" s="21" t="str">
        <f>IF(Main!K31="","",INDEX($E$46:$AB$47,2,MATCH(Main!K31,$E$46:$AB$46,0)))</f>
        <v/>
      </c>
      <c r="L31" s="21" t="str">
        <f>IF(Main!L31="","",INDEX($E$46:$AB$47,2,MATCH(Main!L31,$E$46:$AB$46,0)))</f>
        <v/>
      </c>
      <c r="M31" s="21" t="str">
        <f>IF(Main!M31="","",INDEX($E$46:$AB$47,2,MATCH(Main!M31,$E$46:$AB$46,0)))</f>
        <v/>
      </c>
      <c r="N31" s="21" t="str">
        <f>IF(Main!N31="","",INDEX($E$46:$AB$47,2,MATCH(Main!N31,$E$46:$AB$46,0)))</f>
        <v/>
      </c>
      <c r="O31" s="21" t="str">
        <f>IF(Main!O31="","",INDEX($E$46:$AB$47,2,MATCH(Main!O31,$E$46:$AB$46,0)))</f>
        <v/>
      </c>
      <c r="P31" s="21" t="str">
        <f>IF(Main!P31="","",INDEX($E$46:$AB$47,2,MATCH(Main!P31,$E$46:$AB$46,0)))</f>
        <v/>
      </c>
      <c r="Q31" s="21" t="str">
        <f>IF(Main!Q31="","",INDEX($E$46:$AB$47,2,MATCH(Main!Q31,$E$46:$AB$46,0)))</f>
        <v/>
      </c>
      <c r="R31" s="21" t="str">
        <f>IF(Main!R31="","",INDEX($E$46:$AB$47,2,MATCH(Main!R31,$E$46:$AB$46,0)))</f>
        <v/>
      </c>
      <c r="S31" s="21" t="str">
        <f>IF(Main!S31="","",INDEX($E$46:$AB$47,2,MATCH(Main!S31,$E$46:$AB$46,0)))</f>
        <v/>
      </c>
      <c r="T31" s="21" t="str">
        <f>IF(Main!T31="","",INDEX($E$46:$AB$47,2,MATCH(Main!T31,$E$46:$AB$46,0)))</f>
        <v/>
      </c>
      <c r="U31" s="21" t="str">
        <f>IF(Main!U31="","",INDEX($E$46:$AB$47,2,MATCH(Main!U31,$E$46:$AB$46,0)))</f>
        <v/>
      </c>
      <c r="V31" s="21" t="str">
        <f>IF(Main!V31="","",INDEX($E$46:$AB$47,2,MATCH(Main!V31,$E$46:$AB$46,0)))</f>
        <v/>
      </c>
      <c r="W31" s="21" t="str">
        <f>IF(Main!W31="","",INDEX($E$46:$AB$47,2,MATCH(Main!W31,$E$46:$AB$46,0)))</f>
        <v/>
      </c>
      <c r="X31" s="21" t="str">
        <f>IF(Main!X31="","",INDEX($E$46:$AB$47,2,MATCH(Main!X31,$E$46:$AB$46,0)))</f>
        <v/>
      </c>
      <c r="Y31" s="21" t="str">
        <f>IF(Main!Y31="","",INDEX($E$46:$AB$47,2,MATCH(Main!Y31,$E$46:$AB$46,0)))</f>
        <v/>
      </c>
      <c r="Z31" s="21" t="str">
        <f>IF(Main!Z31="","",INDEX($E$46:$AB$47,2,MATCH(Main!Z31,$E$46:$AB$46,0)))</f>
        <v/>
      </c>
      <c r="AA31" s="21" t="str">
        <f>IF(Main!AA31="","",INDEX($E$46:$AB$47,2,MATCH(Main!AA31,$E$46:$AB$46,0)))</f>
        <v/>
      </c>
      <c r="AB31" s="21" t="str">
        <f>IF(Main!AB31="","",INDEX($E$46:$AB$47,2,MATCH(Main!AB31,$E$46:$AB$46,0)))</f>
        <v/>
      </c>
      <c r="AC31" s="21" t="str">
        <f>IF(Main!AC31="","",INDEX($E$46:$AB$47,2,MATCH(Main!AC31,$E$46:$AB$46,0)))</f>
        <v/>
      </c>
      <c r="AD31" s="21" t="str">
        <f>IF(Main!AD31="","",INDEX($E$46:$AB$47,2,MATCH(Main!AD31,$E$46:$AB$46,0)))</f>
        <v/>
      </c>
      <c r="AE31" s="21" t="str">
        <f>IF(Main!AE31="","",INDEX($E$46:$AB$47,2,MATCH(Main!AE31,$E$46:$AB$46,0)))</f>
        <v/>
      </c>
      <c r="AF31" s="21" t="str">
        <f>IF(Main!AF31="","",INDEX($E$46:$AB$47,2,MATCH(Main!AF31,$E$46:$AB$46,0)))</f>
        <v/>
      </c>
      <c r="AG31" s="21" t="str">
        <f>IF(Main!AG31="","",INDEX($E$46:$AB$47,2,MATCH(Main!AG31,$E$46:$AB$46,0)))</f>
        <v/>
      </c>
      <c r="AH31" s="21" t="str">
        <f>IF(Main!AH31="","",INDEX($E$46:$AB$47,2,MATCH(Main!AH31,$E$46:$AB$46,0)))</f>
        <v/>
      </c>
      <c r="AI31" s="21" t="str">
        <f>IF(Main!AI31="","",INDEX($E$46:$AB$47,2,MATCH(Main!AI31,$E$46:$AB$46,0)))</f>
        <v/>
      </c>
      <c r="AJ31" s="21">
        <f>COUNTIF(Main!E31:'Main'!AI31,"К")</f>
        <v>0</v>
      </c>
      <c r="AK31" s="21">
        <f>COUNTIF(Main!E31:'Main'!AI31,"П")</f>
        <v>0</v>
      </c>
      <c r="AL31" s="20">
        <f>COUNTIF(Main!E31:'Main'!AI31,"Б")</f>
        <v>0</v>
      </c>
      <c r="AM31" s="20">
        <f>COUNTIF(Main!E31:'Main'!AI31,"О")</f>
        <v>0</v>
      </c>
      <c r="AN31" s="20">
        <f>COUNTIF(Main!E31:'Main'!AI31,"АО")</f>
        <v>0</v>
      </c>
      <c r="AO31" s="46">
        <f>SUMIF($E$43:$AI$43,"В",Main!E31:'Main'!AI31)</f>
        <v>0</v>
      </c>
      <c r="AP31" s="20"/>
      <c r="AQ31" s="22"/>
      <c r="AR31" s="20">
        <f t="shared" si="0"/>
        <v>5</v>
      </c>
      <c r="AS31" s="46">
        <f t="shared" si="1"/>
        <v>36</v>
      </c>
      <c r="AT31" s="22">
        <v>19</v>
      </c>
      <c r="AU31" s="20">
        <v>152</v>
      </c>
    </row>
    <row r="32" spans="1:47" ht="14.25" customHeight="1" x14ac:dyDescent="0.2">
      <c r="A32" s="23">
        <v>19</v>
      </c>
      <c r="B32" s="23">
        <v>85743</v>
      </c>
      <c r="C32" s="24" t="s">
        <v>84</v>
      </c>
      <c r="D32" s="24" t="s">
        <v>62</v>
      </c>
      <c r="E32" s="21" t="str">
        <f>IF(Main!E32="","",INDEX($E$46:$AB$47,2,MATCH(Main!E32,$E$46:$AB$46,0)))</f>
        <v/>
      </c>
      <c r="F32" s="21">
        <f>IF(Main!F32="","",INDEX($E$46:$AB$47,2,MATCH(Main!F32,$E$46:$AB$46,0)))</f>
        <v>8</v>
      </c>
      <c r="G32" s="21">
        <f>IF(Main!G32="","",INDEX($E$46:$AB$47,2,MATCH(Main!G32,$E$46:$AB$46,0)))</f>
        <v>8</v>
      </c>
      <c r="H32" s="21">
        <f>IF(Main!H32="","",INDEX($E$46:$AB$47,2,MATCH(Main!H32,$E$46:$AB$46,0)))</f>
        <v>8</v>
      </c>
      <c r="I32" s="21">
        <f>IF(Main!I32="","",INDEX($E$46:$AB$47,2,MATCH(Main!I32,$E$46:$AB$46,0)))</f>
        <v>8</v>
      </c>
      <c r="J32" s="21">
        <f>IF(Main!J32="","",INDEX($E$46:$AB$47,2,MATCH(Main!J32,$E$46:$AB$46,0)))</f>
        <v>8</v>
      </c>
      <c r="K32" s="21" t="str">
        <f>IF(Main!K32="","",INDEX($E$46:$AB$47,2,MATCH(Main!K32,$E$46:$AB$46,0)))</f>
        <v/>
      </c>
      <c r="L32" s="21" t="str">
        <f>IF(Main!L32="","",INDEX($E$46:$AB$47,2,MATCH(Main!L32,$E$46:$AB$46,0)))</f>
        <v/>
      </c>
      <c r="M32" s="21" t="str">
        <f>IF(Main!M32="","",INDEX($E$46:$AB$47,2,MATCH(Main!M32,$E$46:$AB$46,0)))</f>
        <v/>
      </c>
      <c r="N32" s="21" t="str">
        <f>IF(Main!N32="","",INDEX($E$46:$AB$47,2,MATCH(Main!N32,$E$46:$AB$46,0)))</f>
        <v/>
      </c>
      <c r="O32" s="21" t="str">
        <f>IF(Main!O32="","",INDEX($E$46:$AB$47,2,MATCH(Main!O32,$E$46:$AB$46,0)))</f>
        <v/>
      </c>
      <c r="P32" s="21" t="str">
        <f>IF(Main!P32="","",INDEX($E$46:$AB$47,2,MATCH(Main!P32,$E$46:$AB$46,0)))</f>
        <v/>
      </c>
      <c r="Q32" s="21" t="str">
        <f>IF(Main!Q32="","",INDEX($E$46:$AB$47,2,MATCH(Main!Q32,$E$46:$AB$46,0)))</f>
        <v/>
      </c>
      <c r="R32" s="21" t="str">
        <f>IF(Main!R32="","",INDEX($E$46:$AB$47,2,MATCH(Main!R32,$E$46:$AB$46,0)))</f>
        <v/>
      </c>
      <c r="S32" s="21" t="str">
        <f>IF(Main!S32="","",INDEX($E$46:$AB$47,2,MATCH(Main!S32,$E$46:$AB$46,0)))</f>
        <v/>
      </c>
      <c r="T32" s="21" t="str">
        <f>IF(Main!T32="","",INDEX($E$46:$AB$47,2,MATCH(Main!T32,$E$46:$AB$46,0)))</f>
        <v/>
      </c>
      <c r="U32" s="21" t="str">
        <f>IF(Main!U32="","",INDEX($E$46:$AB$47,2,MATCH(Main!U32,$E$46:$AB$46,0)))</f>
        <v/>
      </c>
      <c r="V32" s="21" t="str">
        <f>IF(Main!V32="","",INDEX($E$46:$AB$47,2,MATCH(Main!V32,$E$46:$AB$46,0)))</f>
        <v/>
      </c>
      <c r="W32" s="21" t="str">
        <f>IF(Main!W32="","",INDEX($E$46:$AB$47,2,MATCH(Main!W32,$E$46:$AB$46,0)))</f>
        <v/>
      </c>
      <c r="X32" s="21" t="str">
        <f>IF(Main!X32="","",INDEX($E$46:$AB$47,2,MATCH(Main!X32,$E$46:$AB$46,0)))</f>
        <v/>
      </c>
      <c r="Y32" s="21" t="str">
        <f>IF(Main!Y32="","",INDEX($E$46:$AB$47,2,MATCH(Main!Y32,$E$46:$AB$46,0)))</f>
        <v/>
      </c>
      <c r="Z32" s="21" t="str">
        <f>IF(Main!Z32="","",INDEX($E$46:$AB$47,2,MATCH(Main!Z32,$E$46:$AB$46,0)))</f>
        <v/>
      </c>
      <c r="AA32" s="21" t="str">
        <f>IF(Main!AA32="","",INDEX($E$46:$AB$47,2,MATCH(Main!AA32,$E$46:$AB$46,0)))</f>
        <v/>
      </c>
      <c r="AB32" s="21" t="str">
        <f>IF(Main!AB32="","",INDEX($E$46:$AB$47,2,MATCH(Main!AB32,$E$46:$AB$46,0)))</f>
        <v/>
      </c>
      <c r="AC32" s="21" t="str">
        <f>IF(Main!AC32="","",INDEX($E$46:$AB$47,2,MATCH(Main!AC32,$E$46:$AB$46,0)))</f>
        <v/>
      </c>
      <c r="AD32" s="21" t="str">
        <f>IF(Main!AD32="","",INDEX($E$46:$AB$47,2,MATCH(Main!AD32,$E$46:$AB$46,0)))</f>
        <v/>
      </c>
      <c r="AE32" s="21" t="str">
        <f>IF(Main!AE32="","",INDEX($E$46:$AB$47,2,MATCH(Main!AE32,$E$46:$AB$46,0)))</f>
        <v/>
      </c>
      <c r="AF32" s="21" t="str">
        <f>IF(Main!AF32="","",INDEX($E$46:$AB$47,2,MATCH(Main!AF32,$E$46:$AB$46,0)))</f>
        <v/>
      </c>
      <c r="AG32" s="21" t="str">
        <f>IF(Main!AG32="","",INDEX($E$46:$AB$47,2,MATCH(Main!AG32,$E$46:$AB$46,0)))</f>
        <v/>
      </c>
      <c r="AH32" s="21" t="str">
        <f>IF(Main!AH32="","",INDEX($E$46:$AB$47,2,MATCH(Main!AH32,$E$46:$AB$46,0)))</f>
        <v/>
      </c>
      <c r="AI32" s="21" t="str">
        <f>IF(Main!AI32="","",INDEX($E$46:$AB$47,2,MATCH(Main!AI32,$E$46:$AB$46,0)))</f>
        <v/>
      </c>
      <c r="AJ32" s="21">
        <f>COUNTIF(Main!E32:'Main'!AI32,"К")</f>
        <v>0</v>
      </c>
      <c r="AK32" s="21">
        <f>COUNTIF(Main!E32:'Main'!AI32,"П")</f>
        <v>0</v>
      </c>
      <c r="AL32" s="20">
        <f>COUNTIF(Main!E32:'Main'!AI32,"Б")</f>
        <v>0</v>
      </c>
      <c r="AM32" s="20">
        <f>COUNTIF(Main!E32:'Main'!AI32,"О")</f>
        <v>0</v>
      </c>
      <c r="AN32" s="20">
        <f>COUNTIF(Main!E32:'Main'!AI32,"АО")</f>
        <v>0</v>
      </c>
      <c r="AO32" s="46">
        <f>SUMIF($E$43:$AI$43,"В",Main!E32:'Main'!AI32)</f>
        <v>0</v>
      </c>
      <c r="AP32" s="20"/>
      <c r="AQ32" s="22"/>
      <c r="AR32" s="20">
        <f t="shared" si="0"/>
        <v>5</v>
      </c>
      <c r="AS32" s="46">
        <f t="shared" si="1"/>
        <v>40</v>
      </c>
      <c r="AT32" s="22">
        <v>19</v>
      </c>
      <c r="AU32" s="20">
        <v>152</v>
      </c>
    </row>
    <row r="33" spans="1:47" ht="14.25" customHeight="1" x14ac:dyDescent="0.2">
      <c r="A33" s="26"/>
      <c r="B33" s="26"/>
      <c r="C33" s="27"/>
      <c r="D33" s="27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>
        <f>COUNTIF(Main!E33:'Main'!AI33,"К")</f>
        <v>0</v>
      </c>
      <c r="AK33" s="21">
        <f>COUNTIF(Main!E33:'Main'!AI33,"П")</f>
        <v>0</v>
      </c>
      <c r="AL33" s="20">
        <f>COUNTIF(Main!E33:'Main'!AI33,"Б")</f>
        <v>0</v>
      </c>
      <c r="AM33" s="20">
        <f>COUNTIF(Main!E33:'Main'!AI33,"О")</f>
        <v>0</v>
      </c>
      <c r="AN33" s="20">
        <f>COUNTIF(Main!E33:'Main'!AI33,"АО")</f>
        <v>0</v>
      </c>
      <c r="AO33" s="46">
        <f>SUMIF($E$43:$AI$43,"В",Main!E33:'Main'!AI33)</f>
        <v>0</v>
      </c>
      <c r="AP33" s="20"/>
      <c r="AQ33" s="22"/>
      <c r="AR33" s="20">
        <f t="shared" si="0"/>
        <v>0</v>
      </c>
      <c r="AS33" s="46">
        <f t="shared" si="1"/>
        <v>0</v>
      </c>
      <c r="AT33" s="22">
        <v>19</v>
      </c>
      <c r="AU33" s="20">
        <v>152</v>
      </c>
    </row>
    <row r="34" spans="1:47" ht="14.25" customHeight="1" x14ac:dyDescent="0.2">
      <c r="A34" s="28"/>
      <c r="B34" s="29"/>
      <c r="C34" s="30"/>
      <c r="D34" s="3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>
        <f>COUNTIF(Main!E34:'Main'!AI34,"К")</f>
        <v>0</v>
      </c>
      <c r="AK34" s="21">
        <f>COUNTIF(Main!E34:'Main'!AI34,"П")</f>
        <v>0</v>
      </c>
      <c r="AL34" s="20">
        <f>COUNTIF(Main!E34:'Main'!AI34,"Б")</f>
        <v>0</v>
      </c>
      <c r="AM34" s="20">
        <f>COUNTIF(Main!E34:'Main'!AI34,"О")</f>
        <v>0</v>
      </c>
      <c r="AN34" s="20">
        <f>COUNTIF(Main!E34:'Main'!AI34,"АО")</f>
        <v>0</v>
      </c>
      <c r="AO34" s="46">
        <f>SUMIF($E$43:$AI$43,"В",Main!E34:'Main'!AI34)</f>
        <v>0</v>
      </c>
      <c r="AP34" s="20"/>
      <c r="AQ34" s="22"/>
      <c r="AR34" s="20">
        <f t="shared" si="0"/>
        <v>0</v>
      </c>
      <c r="AS34" s="46">
        <f t="shared" si="1"/>
        <v>0</v>
      </c>
      <c r="AT34" s="22">
        <v>19</v>
      </c>
      <c r="AU34" s="20">
        <v>152</v>
      </c>
    </row>
    <row r="35" spans="1:47" ht="14.25" customHeight="1" x14ac:dyDescent="0.2">
      <c r="A35" s="28"/>
      <c r="B35" s="29"/>
      <c r="C35" s="30"/>
      <c r="D35" s="30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>
        <f>COUNTIF(Main!E35:'Main'!AI35,"К")</f>
        <v>0</v>
      </c>
      <c r="AK35" s="21">
        <f>COUNTIF(Main!E35:'Main'!AI35,"П")</f>
        <v>0</v>
      </c>
      <c r="AL35" s="20">
        <f>COUNTIF(Main!E35:'Main'!AI35,"Б")</f>
        <v>0</v>
      </c>
      <c r="AM35" s="20">
        <f>COUNTIF(Main!E35:'Main'!AI35,"О")</f>
        <v>0</v>
      </c>
      <c r="AN35" s="20">
        <f>COUNTIF(Main!E35:'Main'!AI35,"АО")</f>
        <v>0</v>
      </c>
      <c r="AO35" s="46">
        <f>SUMIF($E$43:$AI$43,"В",Main!E35:'Main'!AI35)</f>
        <v>0</v>
      </c>
      <c r="AP35" s="20"/>
      <c r="AQ35" s="22"/>
      <c r="AR35" s="20">
        <f t="shared" si="0"/>
        <v>0</v>
      </c>
      <c r="AS35" s="46">
        <f t="shared" si="1"/>
        <v>0</v>
      </c>
      <c r="AT35" s="22">
        <v>19</v>
      </c>
      <c r="AU35" s="20">
        <v>152</v>
      </c>
    </row>
    <row r="36" spans="1:47" ht="14.25" customHeight="1" x14ac:dyDescent="0.2">
      <c r="A36" s="28"/>
      <c r="B36" s="29"/>
      <c r="C36" s="30"/>
      <c r="D36" s="30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>
        <f>COUNTIF(Main!E36:'Main'!AI36,"К")</f>
        <v>0</v>
      </c>
      <c r="AK36" s="21">
        <f>COUNTIF(Main!E36:'Main'!AI36,"П")</f>
        <v>0</v>
      </c>
      <c r="AL36" s="20">
        <f>COUNTIF(Main!E36:'Main'!AI36,"Б")</f>
        <v>0</v>
      </c>
      <c r="AM36" s="20">
        <f>COUNTIF(Main!E36:'Main'!AI36,"О")</f>
        <v>0</v>
      </c>
      <c r="AN36" s="20">
        <f>COUNTIF(Main!E36:'Main'!AI36,"АО")</f>
        <v>0</v>
      </c>
      <c r="AO36" s="46">
        <f>SUMIF($E$43:$AI$43,"В",Main!E36:'Main'!AI36)</f>
        <v>0</v>
      </c>
      <c r="AP36" s="20"/>
      <c r="AQ36" s="22"/>
      <c r="AR36" s="20">
        <f t="shared" si="0"/>
        <v>0</v>
      </c>
      <c r="AS36" s="46">
        <f t="shared" si="1"/>
        <v>0</v>
      </c>
      <c r="AT36" s="22">
        <v>19</v>
      </c>
      <c r="AU36" s="20">
        <v>152</v>
      </c>
    </row>
    <row r="37" spans="1:47" ht="14.25" customHeight="1" x14ac:dyDescent="0.2">
      <c r="A37" s="28"/>
      <c r="B37" s="29"/>
      <c r="C37" s="30"/>
      <c r="D37" s="30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>
        <f>COUNTIF(Main!E37:'Main'!AI37,"К")</f>
        <v>0</v>
      </c>
      <c r="AK37" s="21">
        <f>COUNTIF(Main!E37:'Main'!AI37,"П")</f>
        <v>0</v>
      </c>
      <c r="AL37" s="20">
        <f>COUNTIF(Main!E37:'Main'!AI37,"Б")</f>
        <v>0</v>
      </c>
      <c r="AM37" s="20">
        <f>COUNTIF(Main!E37:'Main'!AI37,"О")</f>
        <v>0</v>
      </c>
      <c r="AN37" s="20">
        <f>COUNTIF(Main!E37:'Main'!AI37,"АО")</f>
        <v>0</v>
      </c>
      <c r="AO37" s="46">
        <f>SUMIF($E$43:$AI$43,"В",Main!E37:'Main'!AI37)</f>
        <v>0</v>
      </c>
      <c r="AP37" s="20"/>
      <c r="AQ37" s="22"/>
      <c r="AR37" s="20">
        <f t="shared" si="0"/>
        <v>0</v>
      </c>
      <c r="AS37" s="46">
        <f t="shared" si="1"/>
        <v>0</v>
      </c>
      <c r="AT37" s="22">
        <v>19</v>
      </c>
      <c r="AU37" s="20">
        <v>152</v>
      </c>
    </row>
    <row r="38" spans="1:47" ht="14.25" customHeight="1" x14ac:dyDescent="0.2">
      <c r="A38" s="28"/>
      <c r="B38" s="29"/>
      <c r="C38" s="30"/>
      <c r="D38" s="30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>
        <f>COUNTIF(Main!E38:'Main'!AI38,"К")</f>
        <v>0</v>
      </c>
      <c r="AK38" s="21">
        <f>COUNTIF(Main!E38:'Main'!AI38,"П")</f>
        <v>0</v>
      </c>
      <c r="AL38" s="20">
        <f>COUNTIF(Main!E38:'Main'!AI38,"Б")</f>
        <v>0</v>
      </c>
      <c r="AM38" s="20">
        <f>COUNTIF(Main!E38:'Main'!AI38,"О")</f>
        <v>0</v>
      </c>
      <c r="AN38" s="20">
        <f>COUNTIF(Main!E38:'Main'!AI38,"АО")</f>
        <v>0</v>
      </c>
      <c r="AO38" s="46">
        <f>SUMIF($E$43:$AI$43,"В",Main!E38:'Main'!AI38)</f>
        <v>0</v>
      </c>
      <c r="AP38" s="20"/>
      <c r="AQ38" s="22"/>
      <c r="AR38" s="20">
        <f t="shared" si="0"/>
        <v>0</v>
      </c>
      <c r="AS38" s="46">
        <f t="shared" si="1"/>
        <v>0</v>
      </c>
      <c r="AT38" s="22">
        <v>19</v>
      </c>
      <c r="AU38" s="20">
        <v>152</v>
      </c>
    </row>
    <row r="39" spans="1:47" ht="14.25" customHeight="1" x14ac:dyDescent="0.2">
      <c r="A39" s="28"/>
      <c r="B39" s="29"/>
      <c r="C39" s="29"/>
      <c r="D39" s="3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>
        <f>COUNTIF(Main!E39:'Main'!AI39,"К")</f>
        <v>0</v>
      </c>
      <c r="AK39" s="21">
        <f>COUNTIF(Main!E39:'Main'!AI39,"П")</f>
        <v>0</v>
      </c>
      <c r="AL39" s="20">
        <f>COUNTIF(Main!E39:'Main'!AI39,"Б")</f>
        <v>0</v>
      </c>
      <c r="AM39" s="20">
        <f>COUNTIF(Main!E39:'Main'!AI39,"О")</f>
        <v>0</v>
      </c>
      <c r="AN39" s="20">
        <f>COUNTIF(Main!E39:'Main'!AI39,"АО")</f>
        <v>0</v>
      </c>
      <c r="AO39" s="46">
        <f>SUMIF($E$43:$AI$43,"В",Main!E39:'Main'!AI39)</f>
        <v>0</v>
      </c>
      <c r="AP39" s="20"/>
      <c r="AQ39" s="22"/>
      <c r="AR39" s="20">
        <f t="shared" si="0"/>
        <v>0</v>
      </c>
      <c r="AS39" s="46">
        <f t="shared" si="1"/>
        <v>0</v>
      </c>
      <c r="AT39" s="22">
        <v>19</v>
      </c>
      <c r="AU39" s="20">
        <v>152</v>
      </c>
    </row>
    <row r="40" spans="1:47" ht="14.25" customHeight="1" x14ac:dyDescent="0.2">
      <c r="E40" s="33" t="s">
        <v>85</v>
      </c>
      <c r="F40" s="34" t="s">
        <v>86</v>
      </c>
      <c r="G40" s="34" t="s">
        <v>87</v>
      </c>
      <c r="H40" s="34" t="s">
        <v>88</v>
      </c>
      <c r="I40" s="34" t="s">
        <v>89</v>
      </c>
      <c r="J40" s="34" t="s">
        <v>90</v>
      </c>
      <c r="K40" s="33" t="s">
        <v>91</v>
      </c>
      <c r="L40" s="33" t="s">
        <v>85</v>
      </c>
      <c r="M40" s="34" t="s">
        <v>86</v>
      </c>
      <c r="N40" s="34" t="s">
        <v>87</v>
      </c>
      <c r="O40" s="34" t="s">
        <v>88</v>
      </c>
      <c r="P40" s="34" t="s">
        <v>89</v>
      </c>
      <c r="Q40" s="34" t="s">
        <v>90</v>
      </c>
      <c r="R40" s="33" t="s">
        <v>91</v>
      </c>
      <c r="S40" s="33" t="s">
        <v>85</v>
      </c>
      <c r="T40" s="34" t="s">
        <v>86</v>
      </c>
      <c r="U40" s="34" t="s">
        <v>87</v>
      </c>
      <c r="V40" s="34" t="s">
        <v>88</v>
      </c>
      <c r="W40" s="34" t="s">
        <v>89</v>
      </c>
      <c r="X40" s="34" t="s">
        <v>90</v>
      </c>
      <c r="Y40" s="33" t="s">
        <v>91</v>
      </c>
      <c r="Z40" s="33" t="s">
        <v>85</v>
      </c>
      <c r="AA40" s="34" t="s">
        <v>86</v>
      </c>
      <c r="AB40" s="34" t="s">
        <v>87</v>
      </c>
      <c r="AC40" s="34" t="s">
        <v>88</v>
      </c>
      <c r="AD40" s="34" t="s">
        <v>89</v>
      </c>
      <c r="AE40" s="34" t="s">
        <v>90</v>
      </c>
      <c r="AF40" s="33" t="s">
        <v>91</v>
      </c>
      <c r="AG40" s="33" t="s">
        <v>85</v>
      </c>
      <c r="AH40" s="34" t="s">
        <v>86</v>
      </c>
      <c r="AI40" s="34" t="s">
        <v>87</v>
      </c>
      <c r="AM40" s="35" t="s">
        <v>92</v>
      </c>
      <c r="AN40" s="22"/>
      <c r="AO40" s="22"/>
      <c r="AP40" s="22"/>
      <c r="AQ40" s="22"/>
      <c r="AR40" s="22">
        <f>SUM(AR13:AR34)</f>
        <v>89</v>
      </c>
      <c r="AS40" s="22"/>
      <c r="AT40" s="22">
        <f>SUM(AT13:AT34)</f>
        <v>418</v>
      </c>
      <c r="AU40" s="22"/>
    </row>
    <row r="41" spans="1:47" ht="14.25" customHeight="1" x14ac:dyDescent="0.2">
      <c r="A41" s="94" t="s">
        <v>93</v>
      </c>
      <c r="B41" s="85"/>
      <c r="C41" s="85"/>
      <c r="D41" s="36"/>
      <c r="E41" s="36"/>
      <c r="F41" s="37"/>
      <c r="G41" s="37"/>
      <c r="H41" s="37"/>
      <c r="I41" s="36"/>
      <c r="J41" s="36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M41" s="35" t="s">
        <v>94</v>
      </c>
      <c r="AN41" s="38"/>
      <c r="AO41" s="22"/>
      <c r="AP41" s="22"/>
      <c r="AQ41" s="22"/>
      <c r="AR41" s="22"/>
      <c r="AS41" s="22">
        <f>SUM(AS13:AS34)</f>
        <v>697</v>
      </c>
      <c r="AT41" s="22"/>
      <c r="AU41" s="22">
        <f>SUM(AU13:AU34)</f>
        <v>3344</v>
      </c>
    </row>
    <row r="42" spans="1:47" s="2" customFormat="1" ht="12.75" customHeight="1" x14ac:dyDescent="0.2">
      <c r="D42" s="99" t="s">
        <v>95</v>
      </c>
      <c r="E42" s="85"/>
      <c r="F42" s="100" t="s">
        <v>96</v>
      </c>
      <c r="G42" s="82"/>
      <c r="H42" s="82"/>
      <c r="I42" s="82"/>
      <c r="J42" s="89" t="s">
        <v>97</v>
      </c>
      <c r="K42" s="85"/>
      <c r="L42" s="85"/>
      <c r="M42" s="85"/>
      <c r="N42" s="85"/>
      <c r="O42" s="85"/>
      <c r="AL42" s="94"/>
      <c r="AM42" s="85"/>
      <c r="AN42" s="85"/>
      <c r="AO42" s="85"/>
      <c r="AP42" s="85"/>
      <c r="AQ42" s="9"/>
      <c r="AR42" s="9"/>
      <c r="AS42" s="9"/>
      <c r="AT42" s="39"/>
      <c r="AU42" s="40"/>
    </row>
    <row r="43" spans="1:47" ht="14.25" customHeight="1" x14ac:dyDescent="0.2">
      <c r="A43" s="2" t="s">
        <v>98</v>
      </c>
      <c r="E43" s="21" t="s">
        <v>99</v>
      </c>
      <c r="F43" s="21" t="str">
        <f>Main!F43</f>
        <v>Р</v>
      </c>
      <c r="G43" s="21" t="str">
        <f>Main!G43</f>
        <v>Р</v>
      </c>
      <c r="H43" s="21" t="str">
        <f>Main!H43</f>
        <v>Р</v>
      </c>
      <c r="I43" s="21" t="str">
        <f>Main!I43</f>
        <v>Р</v>
      </c>
      <c r="J43" s="21" t="str">
        <f>Main!J43</f>
        <v>Р</v>
      </c>
      <c r="K43" s="21" t="str">
        <f>Main!K43</f>
        <v>В</v>
      </c>
      <c r="L43" s="21" t="str">
        <f>Main!L43</f>
        <v>В</v>
      </c>
      <c r="M43" s="21" t="str">
        <f>Main!M43</f>
        <v>Р</v>
      </c>
      <c r="N43" s="21" t="str">
        <f>Main!N43</f>
        <v>Р</v>
      </c>
      <c r="O43" s="21" t="str">
        <f>Main!O43</f>
        <v>Р</v>
      </c>
      <c r="P43" s="21" t="str">
        <f>Main!P43</f>
        <v>Р</v>
      </c>
      <c r="Q43" s="21" t="str">
        <f>Main!Q43</f>
        <v>Р</v>
      </c>
      <c r="R43" s="21" t="str">
        <f>Main!R43</f>
        <v>В</v>
      </c>
      <c r="S43" s="21" t="str">
        <f>Main!S43</f>
        <v>В</v>
      </c>
      <c r="T43" s="21" t="str">
        <f>Main!T43</f>
        <v>Р</v>
      </c>
      <c r="U43" s="21" t="str">
        <f>Main!U43</f>
        <v>Р</v>
      </c>
      <c r="V43" s="21" t="str">
        <f>Main!V43</f>
        <v>Р</v>
      </c>
      <c r="W43" s="21" t="str">
        <f>Main!W43</f>
        <v>Р</v>
      </c>
      <c r="X43" s="21" t="str">
        <f>Main!X43</f>
        <v>Р</v>
      </c>
      <c r="Y43" s="21" t="str">
        <f>Main!Y43</f>
        <v>В</v>
      </c>
      <c r="Z43" s="21" t="str">
        <f>Main!Z43</f>
        <v>В</v>
      </c>
      <c r="AA43" s="21" t="str">
        <f>Main!AA43</f>
        <v>В</v>
      </c>
      <c r="AB43" s="21" t="str">
        <f>Main!AB43</f>
        <v>Р</v>
      </c>
      <c r="AC43" s="21" t="str">
        <f>Main!AC43</f>
        <v>Р</v>
      </c>
      <c r="AD43" s="21" t="str">
        <f>Main!AD43</f>
        <v>Р</v>
      </c>
      <c r="AE43" s="21" t="str">
        <f>Main!AE43</f>
        <v>Р</v>
      </c>
      <c r="AF43" s="21" t="str">
        <f>Main!AF43</f>
        <v>В</v>
      </c>
      <c r="AG43" s="21" t="str">
        <f>Main!AG43</f>
        <v>х</v>
      </c>
      <c r="AH43" s="21" t="str">
        <f>Main!AH43</f>
        <v>х</v>
      </c>
      <c r="AI43" s="21" t="str">
        <f>Main!AI43</f>
        <v>х</v>
      </c>
    </row>
    <row r="44" spans="1:47" ht="14.25" customHeight="1" x14ac:dyDescent="0.2">
      <c r="E44" s="42">
        <v>1</v>
      </c>
      <c r="F44" s="42">
        <v>2</v>
      </c>
      <c r="G44" s="42">
        <v>3</v>
      </c>
      <c r="H44" s="42">
        <v>4</v>
      </c>
      <c r="I44" s="42">
        <v>5</v>
      </c>
      <c r="J44" s="42">
        <v>6</v>
      </c>
      <c r="K44" s="42">
        <v>7</v>
      </c>
      <c r="L44" s="42">
        <v>8</v>
      </c>
      <c r="M44" s="42">
        <v>9</v>
      </c>
      <c r="N44" s="42">
        <v>10</v>
      </c>
      <c r="O44" s="42">
        <v>11</v>
      </c>
      <c r="P44" s="42">
        <v>12</v>
      </c>
      <c r="Q44" s="42">
        <v>13</v>
      </c>
      <c r="R44" s="42">
        <v>14</v>
      </c>
      <c r="S44" s="42">
        <v>15</v>
      </c>
      <c r="T44" s="42">
        <v>16</v>
      </c>
      <c r="U44" s="42">
        <v>17</v>
      </c>
      <c r="V44" s="42">
        <v>18</v>
      </c>
      <c r="W44" s="42">
        <v>19</v>
      </c>
      <c r="X44" s="42">
        <v>20</v>
      </c>
      <c r="Y44" s="42">
        <v>21</v>
      </c>
      <c r="Z44" s="42">
        <v>22</v>
      </c>
      <c r="AA44" s="42">
        <v>23</v>
      </c>
      <c r="AB44" s="42">
        <v>24</v>
      </c>
      <c r="AC44" s="42">
        <v>25</v>
      </c>
      <c r="AD44" s="42">
        <v>26</v>
      </c>
      <c r="AE44" s="42">
        <v>27</v>
      </c>
      <c r="AF44" s="42">
        <v>28</v>
      </c>
      <c r="AG44" s="42">
        <v>29</v>
      </c>
      <c r="AH44" s="42">
        <v>30</v>
      </c>
      <c r="AI44" s="42">
        <v>31</v>
      </c>
    </row>
    <row r="45" spans="1:47" ht="12.75" customHeight="1" x14ac:dyDescent="0.2"/>
    <row r="46" spans="1:47" ht="14.25" customHeight="1" x14ac:dyDescent="0.2">
      <c r="D46" s="4" t="s">
        <v>125</v>
      </c>
      <c r="E46" s="47">
        <v>8</v>
      </c>
      <c r="F46" s="47">
        <v>7</v>
      </c>
      <c r="G46" s="47">
        <v>4</v>
      </c>
      <c r="H46" s="47">
        <v>12</v>
      </c>
      <c r="I46" s="47" t="s">
        <v>103</v>
      </c>
      <c r="J46" s="47" t="s">
        <v>104</v>
      </c>
      <c r="K46" s="47" t="s">
        <v>105</v>
      </c>
      <c r="L46" s="47" t="s">
        <v>106</v>
      </c>
      <c r="M46" s="47" t="s">
        <v>107</v>
      </c>
      <c r="N46" s="47" t="s">
        <v>108</v>
      </c>
      <c r="O46" s="47" t="s">
        <v>109</v>
      </c>
      <c r="P46" s="47">
        <v>11</v>
      </c>
      <c r="Q46" s="47" t="s">
        <v>110</v>
      </c>
      <c r="R46" s="47" t="s">
        <v>111</v>
      </c>
      <c r="S46" s="47" t="s">
        <v>112</v>
      </c>
      <c r="T46" s="47" t="s">
        <v>102</v>
      </c>
      <c r="U46" s="47">
        <v>6</v>
      </c>
      <c r="V46" s="47">
        <v>5</v>
      </c>
      <c r="W46" s="47">
        <v>3</v>
      </c>
      <c r="X46" s="47">
        <v>2</v>
      </c>
      <c r="Y46" s="47">
        <v>1</v>
      </c>
      <c r="Z46" s="47">
        <v>9</v>
      </c>
      <c r="AA46" s="47">
        <v>10</v>
      </c>
      <c r="AB46" s="47">
        <v>11</v>
      </c>
      <c r="AF46" s="43" t="s">
        <v>102</v>
      </c>
      <c r="AG46" s="44" t="s">
        <v>101</v>
      </c>
      <c r="AH46" s="45" t="s">
        <v>99</v>
      </c>
      <c r="AI46" s="44" t="s">
        <v>100</v>
      </c>
    </row>
    <row r="47" spans="1:47" ht="13.5" customHeight="1" x14ac:dyDescent="0.2">
      <c r="D47" s="4" t="s">
        <v>126</v>
      </c>
      <c r="E47" s="42">
        <v>8</v>
      </c>
      <c r="F47" s="42">
        <v>7</v>
      </c>
      <c r="G47" s="42">
        <v>4</v>
      </c>
      <c r="H47" s="42">
        <v>12</v>
      </c>
      <c r="I47" s="42">
        <v>8</v>
      </c>
      <c r="J47" s="42"/>
      <c r="K47" s="42"/>
      <c r="L47" s="42"/>
      <c r="M47" s="42">
        <v>8</v>
      </c>
      <c r="N47" s="42"/>
      <c r="O47" s="42"/>
      <c r="P47" s="42">
        <v>11</v>
      </c>
      <c r="Q47" s="42">
        <v>11</v>
      </c>
      <c r="R47" s="42">
        <v>7</v>
      </c>
      <c r="S47" s="42">
        <v>4</v>
      </c>
      <c r="T47" s="42">
        <v>0</v>
      </c>
      <c r="U47" s="42">
        <v>6</v>
      </c>
      <c r="V47" s="42">
        <v>5</v>
      </c>
      <c r="W47" s="42">
        <v>3</v>
      </c>
      <c r="X47" s="42">
        <v>2</v>
      </c>
      <c r="Y47" s="42">
        <v>1</v>
      </c>
      <c r="Z47" s="42">
        <v>9</v>
      </c>
      <c r="AA47" s="42">
        <v>10</v>
      </c>
      <c r="AB47" s="42">
        <v>11</v>
      </c>
      <c r="AF47" s="2">
        <v>0</v>
      </c>
      <c r="AG47" s="2">
        <v>7</v>
      </c>
      <c r="AH47" s="2">
        <v>7</v>
      </c>
      <c r="AI47" s="2">
        <v>8</v>
      </c>
    </row>
    <row r="48" spans="1:47" ht="12.75" hidden="1" customHeight="1" x14ac:dyDescent="0.2">
      <c r="C48" s="2" t="s">
        <v>113</v>
      </c>
      <c r="D48" s="4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 spans="3:28" ht="13.5" hidden="1" customHeight="1" x14ac:dyDescent="0.2">
      <c r="C49" s="2" t="s">
        <v>114</v>
      </c>
      <c r="D49" s="4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 spans="3:28" ht="12.75" hidden="1" customHeight="1" x14ac:dyDescent="0.2">
      <c r="C50" s="2" t="s">
        <v>115</v>
      </c>
      <c r="D50" s="4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</row>
    <row r="51" spans="3:28" ht="12.75" hidden="1" customHeight="1" x14ac:dyDescent="0.2">
      <c r="C51" s="2" t="s">
        <v>116</v>
      </c>
      <c r="D51" s="4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</row>
    <row r="52" spans="3:28" ht="12.75" hidden="1" customHeight="1" x14ac:dyDescent="0.2">
      <c r="C52" s="2" t="s">
        <v>117</v>
      </c>
      <c r="D52" s="4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</row>
    <row r="53" spans="3:28" ht="12.75" hidden="1" customHeight="1" x14ac:dyDescent="0.2">
      <c r="C53" s="2" t="s">
        <v>118</v>
      </c>
      <c r="D53" s="4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</row>
    <row r="54" spans="3:28" ht="12.75" hidden="1" customHeight="1" x14ac:dyDescent="0.2">
      <c r="C54" s="2" t="s">
        <v>119</v>
      </c>
      <c r="D54" s="4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</row>
    <row r="55" spans="3:28" ht="12.75" hidden="1" customHeight="1" x14ac:dyDescent="0.2">
      <c r="C55" s="2" t="s">
        <v>120</v>
      </c>
      <c r="D55" s="4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</row>
    <row r="56" spans="3:28" ht="12.75" hidden="1" customHeight="1" x14ac:dyDescent="0.2">
      <c r="C56" s="2" t="s">
        <v>121</v>
      </c>
      <c r="D56" s="4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</row>
    <row r="57" spans="3:28" ht="12.75" hidden="1" customHeight="1" x14ac:dyDescent="0.2">
      <c r="C57" s="2" t="s">
        <v>122</v>
      </c>
      <c r="D57" s="4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 spans="3:28" ht="12.75" hidden="1" customHeight="1" x14ac:dyDescent="0.2">
      <c r="C58" s="2" t="s">
        <v>123</v>
      </c>
      <c r="D58" s="4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</row>
    <row r="59" spans="3:28" ht="12.75" hidden="1" customHeight="1" x14ac:dyDescent="0.2">
      <c r="C59" s="2" t="s">
        <v>124</v>
      </c>
      <c r="D59" s="4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</row>
    <row r="60" spans="3:28" ht="13.5" customHeight="1" x14ac:dyDescent="0.2"/>
    <row r="1048572" ht="12.75" customHeight="1" x14ac:dyDescent="0.2"/>
  </sheetData>
  <mergeCells count="26">
    <mergeCell ref="AL42:AP42"/>
    <mergeCell ref="E11:AI11"/>
    <mergeCell ref="B12:D12"/>
    <mergeCell ref="B30:D30"/>
    <mergeCell ref="A41:C41"/>
    <mergeCell ref="D42:E42"/>
    <mergeCell ref="F42:I42"/>
    <mergeCell ref="J42:O42"/>
    <mergeCell ref="A5:AT5"/>
    <mergeCell ref="AU5:AU6"/>
    <mergeCell ref="A6:AT6"/>
    <mergeCell ref="A7:AT7"/>
    <mergeCell ref="A8:A10"/>
    <mergeCell ref="B8:B10"/>
    <mergeCell ref="C8:C10"/>
    <mergeCell ref="D8:D10"/>
    <mergeCell ref="E8:AI8"/>
    <mergeCell ref="AJ8:AU8"/>
    <mergeCell ref="AJ9:AQ9"/>
    <mergeCell ref="AR9:AS9"/>
    <mergeCell ref="AT9:AU9"/>
    <mergeCell ref="C1:T1"/>
    <mergeCell ref="C2:T2"/>
    <mergeCell ref="C3:T3"/>
    <mergeCell ref="X3:AF3"/>
    <mergeCell ref="C4:U4"/>
  </mergeCells>
  <pageMargins left="0.66805555555555562" right="0.25902777777777808" top="0.39375000000000004" bottom="0.39375000000000004" header="0.51181102362204689" footer="0.51181102362204689"/>
  <pageSetup paperSize="9" scale="72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Main!$E$46:$AB$46</xm:f>
          </x14:formula1>
          <xm:sqref>E13:AI33</xm:sqref>
        </x14:dataValidation>
        <x14:dataValidation type="list" xr:uid="{00000000-0002-0000-0100-000001000000}">
          <x14:formula1>
            <xm:f>Main!$AF$46:$AI$46</xm:f>
          </x14:formula1>
          <xm:sqref>E43:AI43</xm:sqref>
        </x14:dataValidation>
        <x14:dataValidation type="list" xr:uid="{00000000-0002-0000-0100-000002000000}">
          <x14:formula1>
            <xm:f>Main!$E$48:$AB$48</xm:f>
          </x14:formula1>
          <xm:sqref>E13:AI33</xm:sqref>
        </x14:dataValidation>
        <x14:dataValidation type="list" xr:uid="{00000000-0002-0000-0100-000003000000}">
          <x14:formula1>
            <xm:f>Main!$AF$48:$AI$48</xm:f>
          </x14:formula1>
          <xm:sqref>E43:AI43</xm:sqref>
        </x14:dataValidation>
        <x14:dataValidation type="list" allowBlank="1" xr:uid="{00000000-0002-0000-0100-000004000000}">
          <x14:formula1>
            <xm:f>Main!$E$48:$AB$48</xm:f>
          </x14:formula1>
          <xm:sqref>E13:AI33</xm:sqref>
        </x14:dataValidation>
        <x14:dataValidation type="list" allowBlank="1" xr:uid="{00000000-0002-0000-0100-000005000000}">
          <x14:formula1>
            <xm:f>Main!$AF$48:$AI$48</xm:f>
          </x14:formula1>
          <xm:sqref>E43:AI43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2"/>
    <pageSetUpPr fitToPage="1"/>
  </sheetPr>
  <dimension ref="A1:AMJ1048560"/>
  <sheetViews>
    <sheetView showGridLines="0" topLeftCell="A5" workbookViewId="0">
      <selection activeCell="AU39" sqref="AU39"/>
    </sheetView>
  </sheetViews>
  <sheetFormatPr defaultColWidth="11.5703125" defaultRowHeight="12" x14ac:dyDescent="0.2"/>
  <cols>
    <col min="1" max="1" width="3.28515625" style="2" customWidth="1"/>
    <col min="2" max="2" width="6.28515625" style="2" customWidth="1"/>
    <col min="3" max="3" width="13.28515625" style="2" customWidth="1"/>
    <col min="4" max="4" width="10.42578125" style="2" customWidth="1"/>
    <col min="5" max="5" width="3.5703125" style="2" customWidth="1"/>
    <col min="6" max="6" width="3" style="2" customWidth="1"/>
    <col min="7" max="35" width="3.5703125" style="2" customWidth="1"/>
    <col min="36" max="47" width="4.7109375" style="2" customWidth="1"/>
    <col min="48" max="64" width="8.42578125" style="2" customWidth="1"/>
    <col min="65" max="1024" width="11.5703125" style="2" customWidth="1"/>
    <col min="1025" max="1025" width="11.5703125" style="1" customWidth="1"/>
    <col min="1026" max="16384" width="11.5703125" style="1"/>
  </cols>
  <sheetData>
    <row r="1" spans="1:51" ht="14.25" hidden="1" customHeight="1" x14ac:dyDescent="0.2">
      <c r="C1" s="79" t="s">
        <v>0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4"/>
      <c r="V1" s="4"/>
      <c r="W1" s="4"/>
      <c r="X1" s="5"/>
      <c r="AU1" s="4" t="s">
        <v>1</v>
      </c>
    </row>
    <row r="2" spans="1:51" ht="12.75" hidden="1" customHeight="1" x14ac:dyDescent="0.2">
      <c r="C2" s="81" t="s">
        <v>2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X2" s="5"/>
      <c r="AU2" s="4" t="s">
        <v>3</v>
      </c>
    </row>
    <row r="3" spans="1:51" ht="14.25" hidden="1" customHeight="1" x14ac:dyDescent="0.2">
      <c r="C3" s="83" t="s">
        <v>4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7"/>
      <c r="V3" s="7"/>
      <c r="X3" s="84" t="s">
        <v>5</v>
      </c>
      <c r="Y3" s="85"/>
      <c r="Z3" s="85"/>
      <c r="AA3" s="85"/>
      <c r="AB3" s="85"/>
      <c r="AC3" s="85"/>
      <c r="AD3" s="85"/>
      <c r="AE3" s="85"/>
      <c r="AF3" s="85"/>
      <c r="AN3" s="8"/>
      <c r="AU3" s="4" t="s">
        <v>6</v>
      </c>
    </row>
    <row r="4" spans="1:51" ht="8.25" hidden="1" customHeight="1" x14ac:dyDescent="0.2">
      <c r="C4" s="81" t="s">
        <v>7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9"/>
      <c r="W4" s="9"/>
      <c r="AN4" s="9"/>
      <c r="AO4" s="9"/>
    </row>
    <row r="5" spans="1:51" ht="14.25" customHeight="1" x14ac:dyDescent="0.2">
      <c r="A5" s="86" t="s">
        <v>8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7">
        <v>14</v>
      </c>
    </row>
    <row r="6" spans="1:51" ht="10.5" customHeight="1" x14ac:dyDescent="0.2">
      <c r="A6" s="86" t="s">
        <v>9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8"/>
    </row>
    <row r="7" spans="1:51" ht="14.25" customHeight="1" x14ac:dyDescent="0.2">
      <c r="A7" s="89" t="str">
        <f>CONCATENATE("за ",данные!A1," месяц ",данные!B1)</f>
        <v>за февраль месяц  2026 года.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11"/>
    </row>
    <row r="8" spans="1:51" ht="15" customHeight="1" x14ac:dyDescent="0.2">
      <c r="A8" s="90" t="s">
        <v>10</v>
      </c>
      <c r="B8" s="90" t="s">
        <v>11</v>
      </c>
      <c r="C8" s="90" t="s">
        <v>12</v>
      </c>
      <c r="D8" s="90" t="s">
        <v>13</v>
      </c>
      <c r="E8" s="90" t="s">
        <v>14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3"/>
      <c r="AJ8" s="90" t="s">
        <v>15</v>
      </c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3"/>
      <c r="AV8" s="13"/>
      <c r="AW8" s="13"/>
      <c r="AX8" s="13"/>
      <c r="AY8" s="13"/>
    </row>
    <row r="9" spans="1:51" ht="12.75" customHeight="1" x14ac:dyDescent="0.2">
      <c r="A9" s="91"/>
      <c r="B9" s="91"/>
      <c r="C9" s="91"/>
      <c r="D9" s="91"/>
      <c r="E9" s="15" t="s">
        <v>16</v>
      </c>
      <c r="F9" s="15" t="s">
        <v>17</v>
      </c>
      <c r="G9" s="15" t="s">
        <v>18</v>
      </c>
      <c r="H9" s="15" t="s">
        <v>19</v>
      </c>
      <c r="I9" s="15" t="s">
        <v>20</v>
      </c>
      <c r="J9" s="15" t="s">
        <v>21</v>
      </c>
      <c r="K9" s="15" t="s">
        <v>22</v>
      </c>
      <c r="L9" s="15" t="s">
        <v>23</v>
      </c>
      <c r="M9" s="15" t="s">
        <v>24</v>
      </c>
      <c r="N9" s="15" t="s">
        <v>25</v>
      </c>
      <c r="O9" s="15" t="s">
        <v>26</v>
      </c>
      <c r="P9" s="15" t="s">
        <v>27</v>
      </c>
      <c r="Q9" s="15" t="s">
        <v>28</v>
      </c>
      <c r="R9" s="15" t="s">
        <v>29</v>
      </c>
      <c r="S9" s="15" t="s">
        <v>30</v>
      </c>
      <c r="T9" s="15" t="s">
        <v>31</v>
      </c>
      <c r="U9" s="15" t="s">
        <v>32</v>
      </c>
      <c r="V9" s="15" t="s">
        <v>33</v>
      </c>
      <c r="W9" s="15" t="s">
        <v>34</v>
      </c>
      <c r="X9" s="15" t="s">
        <v>35</v>
      </c>
      <c r="Y9" s="15" t="s">
        <v>36</v>
      </c>
      <c r="Z9" s="15" t="s">
        <v>37</v>
      </c>
      <c r="AA9" s="15" t="s">
        <v>38</v>
      </c>
      <c r="AB9" s="15" t="s">
        <v>39</v>
      </c>
      <c r="AC9" s="15" t="s">
        <v>40</v>
      </c>
      <c r="AD9" s="15" t="s">
        <v>41</v>
      </c>
      <c r="AE9" s="15" t="s">
        <v>42</v>
      </c>
      <c r="AF9" s="15" t="s">
        <v>43</v>
      </c>
      <c r="AG9" s="15" t="s">
        <v>44</v>
      </c>
      <c r="AH9" s="15" t="s">
        <v>45</v>
      </c>
      <c r="AI9" s="15" t="s">
        <v>46</v>
      </c>
      <c r="AJ9" s="90" t="s">
        <v>47</v>
      </c>
      <c r="AK9" s="92"/>
      <c r="AL9" s="92"/>
      <c r="AM9" s="92"/>
      <c r="AN9" s="92"/>
      <c r="AO9" s="92"/>
      <c r="AP9" s="92"/>
      <c r="AQ9" s="93"/>
      <c r="AR9" s="90" t="s">
        <v>48</v>
      </c>
      <c r="AS9" s="93"/>
      <c r="AT9" s="90" t="s">
        <v>49</v>
      </c>
      <c r="AU9" s="93"/>
    </row>
    <row r="10" spans="1:51" ht="44.25" customHeight="1" x14ac:dyDescent="0.2">
      <c r="A10" s="88"/>
      <c r="B10" s="88"/>
      <c r="C10" s="88"/>
      <c r="D10" s="88"/>
      <c r="E10" s="15"/>
      <c r="F10" s="15"/>
      <c r="G10" s="15"/>
      <c r="H10" s="15"/>
      <c r="I10" s="15"/>
      <c r="J10" s="16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7"/>
      <c r="AJ10" s="15" t="s">
        <v>50</v>
      </c>
      <c r="AK10" s="15" t="s">
        <v>51</v>
      </c>
      <c r="AL10" s="12" t="s">
        <v>52</v>
      </c>
      <c r="AM10" s="12" t="s">
        <v>53</v>
      </c>
      <c r="AN10" s="12" t="s">
        <v>54</v>
      </c>
      <c r="AO10" s="12" t="s">
        <v>55</v>
      </c>
      <c r="AP10" s="12" t="s">
        <v>56</v>
      </c>
      <c r="AQ10" s="12" t="s">
        <v>57</v>
      </c>
      <c r="AR10" s="12" t="s">
        <v>58</v>
      </c>
      <c r="AS10" s="12" t="s">
        <v>59</v>
      </c>
      <c r="AT10" s="12" t="s">
        <v>58</v>
      </c>
      <c r="AU10" s="12" t="s">
        <v>59</v>
      </c>
    </row>
    <row r="11" spans="1:51" ht="11.25" customHeight="1" x14ac:dyDescent="0.2">
      <c r="A11" s="18">
        <v>1</v>
      </c>
      <c r="B11" s="18"/>
      <c r="C11" s="18">
        <v>2</v>
      </c>
      <c r="D11" s="18">
        <v>3</v>
      </c>
      <c r="E11" s="95">
        <v>4</v>
      </c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3"/>
      <c r="AJ11" s="18">
        <v>5</v>
      </c>
      <c r="AK11" s="18">
        <v>6</v>
      </c>
      <c r="AL11" s="18">
        <v>7</v>
      </c>
      <c r="AM11" s="18">
        <v>8</v>
      </c>
      <c r="AN11" s="18">
        <v>9</v>
      </c>
      <c r="AO11" s="18">
        <v>10</v>
      </c>
      <c r="AP11" s="18">
        <v>11</v>
      </c>
      <c r="AQ11" s="18">
        <v>12</v>
      </c>
      <c r="AR11" s="18">
        <v>13</v>
      </c>
      <c r="AS11" s="18">
        <v>14</v>
      </c>
      <c r="AT11" s="18">
        <v>15</v>
      </c>
      <c r="AU11" s="18">
        <v>16</v>
      </c>
    </row>
    <row r="12" spans="1:51" ht="14.25" customHeight="1" x14ac:dyDescent="0.2">
      <c r="A12" s="19"/>
      <c r="B12" s="101" t="s">
        <v>60</v>
      </c>
      <c r="C12" s="92"/>
      <c r="D12" s="93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0"/>
      <c r="AM12" s="20"/>
      <c r="AN12" s="20"/>
      <c r="AO12" s="20"/>
      <c r="AP12" s="20"/>
      <c r="AQ12" s="22"/>
      <c r="AR12" s="20"/>
      <c r="AS12" s="20"/>
      <c r="AT12" s="22"/>
      <c r="AU12" s="22"/>
    </row>
    <row r="13" spans="1:51" ht="14.25" customHeight="1" x14ac:dyDescent="0.2">
      <c r="A13" s="23">
        <v>1</v>
      </c>
      <c r="B13" s="23">
        <v>83727</v>
      </c>
      <c r="C13" s="24" t="s">
        <v>61</v>
      </c>
      <c r="D13" s="24" t="s">
        <v>62</v>
      </c>
      <c r="E13" s="21" t="str">
        <f>IF(OR(Main!E13="",Main!E13=0),"",INDEX($E$46:$AB$47,2,MATCH(Main!E13,$E$46:$AB$46,0)))</f>
        <v/>
      </c>
      <c r="F13" s="21">
        <f>IF(OR(Main!F13="",Main!F13=0),"",INDEX($E$46:$AB$47,2,MATCH(Main!F13,$E$46:$AB$46,0)))</f>
        <v>0</v>
      </c>
      <c r="G13" s="21">
        <f>IF(OR(Main!G13="",Main!G13=0),"",INDEX($E$46:$AB$47,2,MATCH(Main!G13,$E$46:$AB$46,0)))</f>
        <v>0</v>
      </c>
      <c r="H13" s="21">
        <f>IF(OR(Main!H13="",Main!H13=0),"",INDEX($E$46:$AB$47,2,MATCH(Main!H13,$E$46:$AB$46,0)))</f>
        <v>0</v>
      </c>
      <c r="I13" s="21">
        <f>IF(OR(Main!I13="",Main!I13=0),"",INDEX($E$46:$AB$47,2,MATCH(Main!I13,$E$46:$AB$46,0)))</f>
        <v>0</v>
      </c>
      <c r="J13" s="21">
        <f>IF(OR(Main!J13="",Main!J13=0),"",INDEX($E$46:$AB$47,2,MATCH(Main!J13,$E$46:$AB$46,0)))</f>
        <v>0</v>
      </c>
      <c r="K13" s="21">
        <f>IF(OR(Main!K13="",Main!K13=0),"",INDEX($E$46:$AB$47,2,MATCH(Main!K13,$E$46:$AB$46,0)))</f>
        <v>0</v>
      </c>
      <c r="L13" s="21">
        <f>IF(OR(Main!L13="",Main!L13=0),"",INDEX($E$46:$AB$47,2,MATCH(Main!L13,$E$46:$AB$46,0)))</f>
        <v>0</v>
      </c>
      <c r="M13" s="21" t="str">
        <f>IF(OR(Main!M13="",Main!M13=0),"",INDEX($E$46:$AB$47,2,MATCH(Main!M13,$E$46:$AB$46,0)))</f>
        <v/>
      </c>
      <c r="N13" s="21" t="str">
        <f>IF(OR(Main!N13="",Main!N13=0),"",INDEX($E$46:$AB$47,2,MATCH(Main!N13,$E$46:$AB$46,0)))</f>
        <v/>
      </c>
      <c r="O13" s="21" t="str">
        <f>IF(OR(Main!O13="",Main!O13=0),"",INDEX($E$46:$AB$47,2,MATCH(Main!O13,$E$46:$AB$46,0)))</f>
        <v/>
      </c>
      <c r="P13" s="21" t="str">
        <f>IF(OR(Main!P13="",Main!P13=0),"",INDEX($E$46:$AB$47,2,MATCH(Main!P13,$E$46:$AB$46,0)))</f>
        <v/>
      </c>
      <c r="Q13" s="21" t="str">
        <f>IF(OR(Main!Q13="",Main!Q13=0),"",INDEX($E$46:$AB$47,2,MATCH(Main!Q13,$E$46:$AB$46,0)))</f>
        <v/>
      </c>
      <c r="R13" s="21" t="str">
        <f>IF(OR(Main!R13="",Main!R13=0),"",INDEX($E$46:$AB$47,2,MATCH(Main!R13,$E$46:$AB$46,0)))</f>
        <v/>
      </c>
      <c r="S13" s="21" t="str">
        <f>IF(OR(Main!S13="",Main!S13=0),"",INDEX($E$46:$AB$47,2,MATCH(Main!S13,$E$46:$AB$46,0)))</f>
        <v/>
      </c>
      <c r="T13" s="21" t="str">
        <f>IF(OR(Main!T13="",Main!T13=0),"",INDEX($E$46:$AB$47,2,MATCH(Main!T13,$E$46:$AB$46,0)))</f>
        <v/>
      </c>
      <c r="U13" s="21" t="str">
        <f>IF(OR(Main!U13="",Main!U13=0),"",INDEX($E$46:$AB$47,2,MATCH(Main!U13,$E$46:$AB$46,0)))</f>
        <v/>
      </c>
      <c r="V13" s="21" t="str">
        <f>IF(OR(Main!V13="",Main!V13=0),"",INDEX($E$46:$AB$47,2,MATCH(Main!V13,$E$46:$AB$46,0)))</f>
        <v/>
      </c>
      <c r="W13" s="21" t="str">
        <f>IF(OR(Main!W13="",Main!W13=0),"",INDEX($E$46:$AB$47,2,MATCH(Main!W13,$E$46:$AB$46,0)))</f>
        <v/>
      </c>
      <c r="X13" s="21" t="str">
        <f>IF(OR(Main!X13="",Main!X13=0),"",INDEX($E$46:$AB$47,2,MATCH(Main!X13,$E$46:$AB$46,0)))</f>
        <v/>
      </c>
      <c r="Y13" s="21" t="str">
        <f>IF(OR(Main!Y13="",Main!Y13=0),"",INDEX($E$46:$AB$47,2,MATCH(Main!Y13,$E$46:$AB$46,0)))</f>
        <v/>
      </c>
      <c r="Z13" s="21" t="str">
        <f>IF(OR(Main!Z13="",Main!Z13=0),"",INDEX($E$46:$AB$47,2,MATCH(Main!Z13,$E$46:$AB$46,0)))</f>
        <v/>
      </c>
      <c r="AA13" s="21" t="str">
        <f>IF(OR(Main!AA13="",Main!AA13=0),"",INDEX($E$46:$AB$47,2,MATCH(Main!AA13,$E$46:$AB$46,0)))</f>
        <v/>
      </c>
      <c r="AB13" s="21" t="str">
        <f>IF(OR(Main!AB13="",Main!AB13=0),"",INDEX($E$46:$AB$47,2,MATCH(Main!AB13,$E$46:$AB$46,0)))</f>
        <v/>
      </c>
      <c r="AC13" s="21" t="str">
        <f>IF(OR(Main!AC13="",Main!AC13=0),"",INDEX($E$46:$AB$47,2,MATCH(Main!AC13,$E$46:$AB$46,0)))</f>
        <v/>
      </c>
      <c r="AD13" s="21" t="str">
        <f>IF(OR(Main!AD13="",Main!AD13=0),"",INDEX($E$46:$AB$47,2,MATCH(Main!AD13,$E$46:$AB$46,0)))</f>
        <v/>
      </c>
      <c r="AE13" s="21" t="str">
        <f>IF(OR(Main!AE13="",Main!AE13=0),"",INDEX($E$46:$AB$47,2,MATCH(Main!AE13,$E$46:$AB$46,0)))</f>
        <v/>
      </c>
      <c r="AF13" s="21" t="str">
        <f>IF(OR(Main!AF13="",Main!AF13=0),"",INDEX($E$46:$AB$47,2,MATCH(Main!AF13,$E$46:$AB$46,0)))</f>
        <v/>
      </c>
      <c r="AG13" s="21" t="str">
        <f>IF(OR(Main!AG13="",Main!AG13=0),"",INDEX($E$46:$AB$47,2,MATCH(Main!AG13,$E$46:$AB$46,0)))</f>
        <v/>
      </c>
      <c r="AH13" s="21" t="str">
        <f>IF(OR(Main!AH13="",Main!AH13=0),"",INDEX($E$46:$AB$47,2,MATCH(Main!AH13,$E$46:$AB$46,0)))</f>
        <v/>
      </c>
      <c r="AI13" s="21" t="str">
        <f>IF(OR(Main!AI13="",Main!AI13=0),"",INDEX($E$46:$AB$47,2,MATCH(Main!AI13,$E$46:$AB$46,0)))</f>
        <v/>
      </c>
      <c r="AJ13" s="21"/>
      <c r="AK13" s="21"/>
      <c r="AL13" s="20"/>
      <c r="AM13" s="20"/>
      <c r="AN13" s="20"/>
      <c r="AO13" s="46"/>
      <c r="AP13" s="20">
        <f t="shared" ref="AP13:AP39" si="0">SUM(E13:AI13)</f>
        <v>0</v>
      </c>
      <c r="AQ13" s="22"/>
      <c r="AR13" s="20"/>
      <c r="AS13" s="46"/>
      <c r="AT13" s="22">
        <f>IF(Main!AS13="","",$AJ$49)</f>
        <v>19</v>
      </c>
      <c r="AU13" s="20">
        <f>IF(Main!AS13="","",$AK$49)</f>
        <v>152</v>
      </c>
    </row>
    <row r="14" spans="1:51" ht="14.25" customHeight="1" x14ac:dyDescent="0.2">
      <c r="A14" s="23">
        <v>2</v>
      </c>
      <c r="B14" s="23">
        <v>89046</v>
      </c>
      <c r="C14" s="24" t="s">
        <v>63</v>
      </c>
      <c r="D14" s="24" t="s">
        <v>62</v>
      </c>
      <c r="E14" s="21" t="str">
        <f>IF(OR(Main!E14="",Main!E14=0),"",INDEX($E$46:$AB$47,2,MATCH(Main!E14,$E$46:$AB$46,0)))</f>
        <v/>
      </c>
      <c r="F14" s="21">
        <f>IF(OR(Main!F14="",Main!F14=0),"",INDEX($E$46:$AB$47,2,MATCH(Main!F14,$E$46:$AB$46,0)))</f>
        <v>0</v>
      </c>
      <c r="G14" s="21">
        <f>IF(OR(Main!G14="",Main!G14=0),"",INDEX($E$46:$AB$47,2,MATCH(Main!G14,$E$46:$AB$46,0)))</f>
        <v>0</v>
      </c>
      <c r="H14" s="21">
        <f>IF(OR(Main!H14="",Main!H14=0),"",INDEX($E$46:$AB$47,2,MATCH(Main!H14,$E$46:$AB$46,0)))</f>
        <v>0</v>
      </c>
      <c r="I14" s="21">
        <f>IF(OR(Main!I14="",Main!I14=0),"",INDEX($E$46:$AB$47,2,MATCH(Main!I14,$E$46:$AB$46,0)))</f>
        <v>0</v>
      </c>
      <c r="J14" s="21">
        <f>IF(OR(Main!J14="",Main!J14=0),"",INDEX($E$46:$AB$47,2,MATCH(Main!J14,$E$46:$AB$46,0)))</f>
        <v>0</v>
      </c>
      <c r="K14" s="21">
        <f>IF(OR(Main!K14="",Main!K14=0),"",INDEX($E$46:$AB$47,2,MATCH(Main!K14,$E$46:$AB$46,0)))</f>
        <v>0</v>
      </c>
      <c r="L14" s="21" t="str">
        <f>IF(OR(Main!L14="",Main!L14=0),"",INDEX($E$46:$AB$47,2,MATCH(Main!L14,$E$46:$AB$46,0)))</f>
        <v/>
      </c>
      <c r="M14" s="21" t="str">
        <f>IF(OR(Main!M14="",Main!M14=0),"",INDEX($E$46:$AB$47,2,MATCH(Main!M14,$E$46:$AB$46,0)))</f>
        <v/>
      </c>
      <c r="N14" s="21" t="str">
        <f>IF(OR(Main!N14="",Main!N14=0),"",INDEX($E$46:$AB$47,2,MATCH(Main!N14,$E$46:$AB$46,0)))</f>
        <v/>
      </c>
      <c r="O14" s="21" t="str">
        <f>IF(OR(Main!O14="",Main!O14=0),"",INDEX($E$46:$AB$47,2,MATCH(Main!O14,$E$46:$AB$46,0)))</f>
        <v/>
      </c>
      <c r="P14" s="21" t="str">
        <f>IF(OR(Main!P14="",Main!P14=0),"",INDEX($E$46:$AB$47,2,MATCH(Main!P14,$E$46:$AB$46,0)))</f>
        <v/>
      </c>
      <c r="Q14" s="21" t="str">
        <f>IF(OR(Main!Q14="",Main!Q14=0),"",INDEX($E$46:$AB$47,2,MATCH(Main!Q14,$E$46:$AB$46,0)))</f>
        <v/>
      </c>
      <c r="R14" s="21" t="str">
        <f>IF(OR(Main!R14="",Main!R14=0),"",INDEX($E$46:$AB$47,2,MATCH(Main!R14,$E$46:$AB$46,0)))</f>
        <v/>
      </c>
      <c r="S14" s="21" t="str">
        <f>IF(OR(Main!S14="",Main!S14=0),"",INDEX($E$46:$AB$47,2,MATCH(Main!S14,$E$46:$AB$46,0)))</f>
        <v/>
      </c>
      <c r="T14" s="21" t="str">
        <f>IF(OR(Main!T14="",Main!T14=0),"",INDEX($E$46:$AB$47,2,MATCH(Main!T14,$E$46:$AB$46,0)))</f>
        <v/>
      </c>
      <c r="U14" s="21" t="str">
        <f>IF(OR(Main!U14="",Main!U14=0),"",INDEX($E$46:$AB$47,2,MATCH(Main!U14,$E$46:$AB$46,0)))</f>
        <v/>
      </c>
      <c r="V14" s="21" t="str">
        <f>IF(OR(Main!V14="",Main!V14=0),"",INDEX($E$46:$AB$47,2,MATCH(Main!V14,$E$46:$AB$46,0)))</f>
        <v/>
      </c>
      <c r="W14" s="21" t="str">
        <f>IF(OR(Main!W14="",Main!W14=0),"",INDEX($E$46:$AB$47,2,MATCH(Main!W14,$E$46:$AB$46,0)))</f>
        <v/>
      </c>
      <c r="X14" s="21" t="str">
        <f>IF(OR(Main!X14="",Main!X14=0),"",INDEX($E$46:$AB$47,2,MATCH(Main!X14,$E$46:$AB$46,0)))</f>
        <v/>
      </c>
      <c r="Y14" s="21" t="str">
        <f>IF(OR(Main!Y14="",Main!Y14=0),"",INDEX($E$46:$AB$47,2,MATCH(Main!Y14,$E$46:$AB$46,0)))</f>
        <v/>
      </c>
      <c r="Z14" s="21" t="str">
        <f>IF(OR(Main!Z14="",Main!Z14=0),"",INDEX($E$46:$AB$47,2,MATCH(Main!Z14,$E$46:$AB$46,0)))</f>
        <v/>
      </c>
      <c r="AA14" s="21" t="str">
        <f>IF(OR(Main!AA14="",Main!AA14=0),"",INDEX($E$46:$AB$47,2,MATCH(Main!AA14,$E$46:$AB$46,0)))</f>
        <v/>
      </c>
      <c r="AB14" s="21" t="str">
        <f>IF(OR(Main!AB14="",Main!AB14=0),"",INDEX($E$46:$AB$47,2,MATCH(Main!AB14,$E$46:$AB$46,0)))</f>
        <v/>
      </c>
      <c r="AC14" s="21" t="str">
        <f>IF(OR(Main!AC14="",Main!AC14=0),"",INDEX($E$46:$AB$47,2,MATCH(Main!AC14,$E$46:$AB$46,0)))</f>
        <v/>
      </c>
      <c r="AD14" s="21" t="str">
        <f>IF(OR(Main!AD14="",Main!AD14=0),"",INDEX($E$46:$AB$47,2,MATCH(Main!AD14,$E$46:$AB$46,0)))</f>
        <v/>
      </c>
      <c r="AE14" s="21" t="str">
        <f>IF(OR(Main!AE14="",Main!AE14=0),"",INDEX($E$46:$AB$47,2,MATCH(Main!AE14,$E$46:$AB$46,0)))</f>
        <v/>
      </c>
      <c r="AF14" s="21" t="str">
        <f>IF(OR(Main!AF14="",Main!AF14=0),"",INDEX($E$46:$AB$47,2,MATCH(Main!AF14,$E$46:$AB$46,0)))</f>
        <v/>
      </c>
      <c r="AG14" s="21" t="str">
        <f>IF(OR(Main!AG14="",Main!AG14=0),"",INDEX($E$46:$AB$47,2,MATCH(Main!AG14,$E$46:$AB$46,0)))</f>
        <v/>
      </c>
      <c r="AH14" s="21" t="str">
        <f>IF(OR(Main!AH14="",Main!AH14=0),"",INDEX($E$46:$AB$47,2,MATCH(Main!AH14,$E$46:$AB$46,0)))</f>
        <v/>
      </c>
      <c r="AI14" s="21" t="str">
        <f>IF(OR(Main!AI14="",Main!AI14=0),"",INDEX($E$46:$AB$47,2,MATCH(Main!AI14,$E$46:$AB$46,0)))</f>
        <v/>
      </c>
      <c r="AJ14" s="21"/>
      <c r="AK14" s="21"/>
      <c r="AL14" s="20"/>
      <c r="AM14" s="20"/>
      <c r="AN14" s="20"/>
      <c r="AO14" s="46"/>
      <c r="AP14" s="20">
        <f t="shared" si="0"/>
        <v>0</v>
      </c>
      <c r="AQ14" s="22"/>
      <c r="AR14" s="20"/>
      <c r="AS14" s="46"/>
      <c r="AT14" s="22">
        <f>IF(Main!AS14="","",$AJ$49)</f>
        <v>19</v>
      </c>
      <c r="AU14" s="20">
        <f>IF(Main!AS14="","",$AK$49)</f>
        <v>152</v>
      </c>
    </row>
    <row r="15" spans="1:51" ht="14.25" customHeight="1" x14ac:dyDescent="0.2">
      <c r="A15" s="23">
        <v>3</v>
      </c>
      <c r="B15" s="23">
        <v>31205</v>
      </c>
      <c r="C15" s="24" t="s">
        <v>64</v>
      </c>
      <c r="D15" s="25" t="s">
        <v>62</v>
      </c>
      <c r="E15" s="21">
        <f>IF(OR(Main!E15="",Main!E15=0),"",INDEX($E$46:$AB$47,2,MATCH(Main!E15,$E$46:$AB$46,0)))</f>
        <v>0</v>
      </c>
      <c r="F15" s="21">
        <f>IF(OR(Main!F15="",Main!F15=0),"",INDEX($E$46:$AB$47,2,MATCH(Main!F15,$E$46:$AB$46,0)))</f>
        <v>0</v>
      </c>
      <c r="G15" s="21">
        <f>IF(OR(Main!G15="",Main!G15=0),"",INDEX($E$46:$AB$47,2,MATCH(Main!G15,$E$46:$AB$46,0)))</f>
        <v>0</v>
      </c>
      <c r="H15" s="21">
        <f>IF(OR(Main!H15="",Main!H15=0),"",INDEX($E$46:$AB$47,2,MATCH(Main!H15,$E$46:$AB$46,0)))</f>
        <v>0</v>
      </c>
      <c r="I15" s="21">
        <f>IF(OR(Main!I15="",Main!I15=0),"",INDEX($E$46:$AB$47,2,MATCH(Main!I15,$E$46:$AB$46,0)))</f>
        <v>0</v>
      </c>
      <c r="J15" s="21">
        <f>IF(OR(Main!J15="",Main!J15=0),"",INDEX($E$46:$AB$47,2,MATCH(Main!J15,$E$46:$AB$46,0)))</f>
        <v>0</v>
      </c>
      <c r="K15" s="21">
        <f>IF(OR(Main!K15="",Main!K15=0),"",INDEX($E$46:$AB$47,2,MATCH(Main!K15,$E$46:$AB$46,0)))</f>
        <v>0</v>
      </c>
      <c r="L15" s="21">
        <f>IF(OR(Main!L15="",Main!L15=0),"",INDEX($E$46:$AB$47,2,MATCH(Main!L15,$E$46:$AB$46,0)))</f>
        <v>0</v>
      </c>
      <c r="M15" s="21" t="str">
        <f>IF(OR(Main!M15="",Main!M15=0),"",INDEX($E$46:$AB$47,2,MATCH(Main!M15,$E$46:$AB$46,0)))</f>
        <v/>
      </c>
      <c r="N15" s="21" t="str">
        <f>IF(OR(Main!N15="",Main!N15=0),"",INDEX($E$46:$AB$47,2,MATCH(Main!N15,$E$46:$AB$46,0)))</f>
        <v/>
      </c>
      <c r="O15" s="21" t="str">
        <f>IF(OR(Main!O15="",Main!O15=0),"",INDEX($E$46:$AB$47,2,MATCH(Main!O15,$E$46:$AB$46,0)))</f>
        <v/>
      </c>
      <c r="P15" s="21" t="str">
        <f>IF(OR(Main!P15="",Main!P15=0),"",INDEX($E$46:$AB$47,2,MATCH(Main!P15,$E$46:$AB$46,0)))</f>
        <v/>
      </c>
      <c r="Q15" s="21" t="str">
        <f>IF(OR(Main!Q15="",Main!Q15=0),"",INDEX($E$46:$AB$47,2,MATCH(Main!Q15,$E$46:$AB$46,0)))</f>
        <v/>
      </c>
      <c r="R15" s="21" t="str">
        <f>IF(OR(Main!R15="",Main!R15=0),"",INDEX($E$46:$AB$47,2,MATCH(Main!R15,$E$46:$AB$46,0)))</f>
        <v/>
      </c>
      <c r="S15" s="21" t="str">
        <f>IF(OR(Main!S15="",Main!S15=0),"",INDEX($E$46:$AB$47,2,MATCH(Main!S15,$E$46:$AB$46,0)))</f>
        <v/>
      </c>
      <c r="T15" s="21" t="str">
        <f>IF(OR(Main!T15="",Main!T15=0),"",INDEX($E$46:$AB$47,2,MATCH(Main!T15,$E$46:$AB$46,0)))</f>
        <v/>
      </c>
      <c r="U15" s="21" t="str">
        <f>IF(OR(Main!U15="",Main!U15=0),"",INDEX($E$46:$AB$47,2,MATCH(Main!U15,$E$46:$AB$46,0)))</f>
        <v/>
      </c>
      <c r="V15" s="21" t="str">
        <f>IF(OR(Main!V15="",Main!V15=0),"",INDEX($E$46:$AB$47,2,MATCH(Main!V15,$E$46:$AB$46,0)))</f>
        <v/>
      </c>
      <c r="W15" s="21" t="str">
        <f>IF(OR(Main!W15="",Main!W15=0),"",INDEX($E$46:$AB$47,2,MATCH(Main!W15,$E$46:$AB$46,0)))</f>
        <v/>
      </c>
      <c r="X15" s="21" t="str">
        <f>IF(OR(Main!X15="",Main!X15=0),"",INDEX($E$46:$AB$47,2,MATCH(Main!X15,$E$46:$AB$46,0)))</f>
        <v/>
      </c>
      <c r="Y15" s="21" t="str">
        <f>IF(OR(Main!Y15="",Main!Y15=0),"",INDEX($E$46:$AB$47,2,MATCH(Main!Y15,$E$46:$AB$46,0)))</f>
        <v/>
      </c>
      <c r="Z15" s="21" t="str">
        <f>IF(OR(Main!Z15="",Main!Z15=0),"",INDEX($E$46:$AB$47,2,MATCH(Main!Z15,$E$46:$AB$46,0)))</f>
        <v/>
      </c>
      <c r="AA15" s="21" t="str">
        <f>IF(OR(Main!AA15="",Main!AA15=0),"",INDEX($E$46:$AB$47,2,MATCH(Main!AA15,$E$46:$AB$46,0)))</f>
        <v/>
      </c>
      <c r="AB15" s="21" t="str">
        <f>IF(OR(Main!AB15="",Main!AB15=0),"",INDEX($E$46:$AB$47,2,MATCH(Main!AB15,$E$46:$AB$46,0)))</f>
        <v/>
      </c>
      <c r="AC15" s="21" t="str">
        <f>IF(OR(Main!AC15="",Main!AC15=0),"",INDEX($E$46:$AB$47,2,MATCH(Main!AC15,$E$46:$AB$46,0)))</f>
        <v/>
      </c>
      <c r="AD15" s="21" t="str">
        <f>IF(OR(Main!AD15="",Main!AD15=0),"",INDEX($E$46:$AB$47,2,MATCH(Main!AD15,$E$46:$AB$46,0)))</f>
        <v/>
      </c>
      <c r="AE15" s="21" t="str">
        <f>IF(OR(Main!AE15="",Main!AE15=0),"",INDEX($E$46:$AB$47,2,MATCH(Main!AE15,$E$46:$AB$46,0)))</f>
        <v/>
      </c>
      <c r="AF15" s="21" t="str">
        <f>IF(OR(Main!AF15="",Main!AF15=0),"",INDEX($E$46:$AB$47,2,MATCH(Main!AF15,$E$46:$AB$46,0)))</f>
        <v/>
      </c>
      <c r="AG15" s="21" t="str">
        <f>IF(OR(Main!AG15="",Main!AG15=0),"",INDEX($E$46:$AB$47,2,MATCH(Main!AG15,$E$46:$AB$46,0)))</f>
        <v/>
      </c>
      <c r="AH15" s="21" t="str">
        <f>IF(OR(Main!AH15="",Main!AH15=0),"",INDEX($E$46:$AB$47,2,MATCH(Main!AH15,$E$46:$AB$46,0)))</f>
        <v/>
      </c>
      <c r="AI15" s="21" t="str">
        <f>IF(OR(Main!AI15="",Main!AI15=0),"",INDEX($E$46:$AB$47,2,MATCH(Main!AI15,$E$46:$AB$46,0)))</f>
        <v/>
      </c>
      <c r="AJ15" s="21"/>
      <c r="AK15" s="21"/>
      <c r="AL15" s="20"/>
      <c r="AM15" s="20"/>
      <c r="AN15" s="20"/>
      <c r="AO15" s="46"/>
      <c r="AP15" s="20">
        <f t="shared" si="0"/>
        <v>0</v>
      </c>
      <c r="AQ15" s="22"/>
      <c r="AR15" s="20"/>
      <c r="AS15" s="46"/>
      <c r="AT15" s="22" t="str">
        <f>IF(Main!AS15="","",$AJ$49)</f>
        <v/>
      </c>
      <c r="AU15" s="20" t="str">
        <f>IF(Main!AS15="","",$AK$49)</f>
        <v/>
      </c>
    </row>
    <row r="16" spans="1:51" ht="14.25" customHeight="1" x14ac:dyDescent="0.2">
      <c r="A16" s="23">
        <v>4</v>
      </c>
      <c r="B16" s="23">
        <v>83448</v>
      </c>
      <c r="C16" s="24" t="s">
        <v>65</v>
      </c>
      <c r="D16" s="24" t="s">
        <v>66</v>
      </c>
      <c r="E16" s="21">
        <f>IF(OR(Main!E16="",Main!E16=0),"",INDEX($E$46:$AB$47,2,MATCH(Main!E16,$E$46:$AB$46,0)))</f>
        <v>0</v>
      </c>
      <c r="F16" s="21">
        <f>IF(OR(Main!F16="",Main!F16=0),"",INDEX($E$46:$AB$47,2,MATCH(Main!F16,$E$46:$AB$46,0)))</f>
        <v>0</v>
      </c>
      <c r="G16" s="21">
        <f>IF(OR(Main!G16="",Main!G16=0),"",INDEX($E$46:$AB$47,2,MATCH(Main!G16,$E$46:$AB$46,0)))</f>
        <v>0</v>
      </c>
      <c r="H16" s="21">
        <f>IF(OR(Main!H16="",Main!H16=0),"",INDEX($E$46:$AB$47,2,MATCH(Main!H16,$E$46:$AB$46,0)))</f>
        <v>0</v>
      </c>
      <c r="I16" s="21">
        <f>IF(OR(Main!I16="",Main!I16=0),"",INDEX($E$46:$AB$47,2,MATCH(Main!I16,$E$46:$AB$46,0)))</f>
        <v>0</v>
      </c>
      <c r="J16" s="21">
        <f>IF(OR(Main!J16="",Main!J16=0),"",INDEX($E$46:$AB$47,2,MATCH(Main!J16,$E$46:$AB$46,0)))</f>
        <v>0</v>
      </c>
      <c r="K16" s="21" t="str">
        <f>IF(OR(Main!K16="",Main!K16=0),"",INDEX($E$46:$AB$47,2,MATCH(Main!K16,$E$46:$AB$46,0)))</f>
        <v/>
      </c>
      <c r="L16" s="21" t="str">
        <f>IF(OR(Main!L16="",Main!L16=0),"",INDEX($E$46:$AB$47,2,MATCH(Main!L16,$E$46:$AB$46,0)))</f>
        <v/>
      </c>
      <c r="M16" s="21" t="str">
        <f>IF(OR(Main!M16="",Main!M16=0),"",INDEX($E$46:$AB$47,2,MATCH(Main!M16,$E$46:$AB$46,0)))</f>
        <v/>
      </c>
      <c r="N16" s="21" t="str">
        <f>IF(OR(Main!N16="",Main!N16=0),"",INDEX($E$46:$AB$47,2,MATCH(Main!N16,$E$46:$AB$46,0)))</f>
        <v/>
      </c>
      <c r="O16" s="21" t="str">
        <f>IF(OR(Main!O16="",Main!O16=0),"",INDEX($E$46:$AB$47,2,MATCH(Main!O16,$E$46:$AB$46,0)))</f>
        <v/>
      </c>
      <c r="P16" s="21" t="str">
        <f>IF(OR(Main!P16="",Main!P16=0),"",INDEX($E$46:$AB$47,2,MATCH(Main!P16,$E$46:$AB$46,0)))</f>
        <v/>
      </c>
      <c r="Q16" s="21" t="str">
        <f>IF(OR(Main!Q16="",Main!Q16=0),"",INDEX($E$46:$AB$47,2,MATCH(Main!Q16,$E$46:$AB$46,0)))</f>
        <v/>
      </c>
      <c r="R16" s="21" t="str">
        <f>IF(OR(Main!R16="",Main!R16=0),"",INDEX($E$46:$AB$47,2,MATCH(Main!R16,$E$46:$AB$46,0)))</f>
        <v/>
      </c>
      <c r="S16" s="21" t="str">
        <f>IF(OR(Main!S16="",Main!S16=0),"",INDEX($E$46:$AB$47,2,MATCH(Main!S16,$E$46:$AB$46,0)))</f>
        <v/>
      </c>
      <c r="T16" s="21" t="str">
        <f>IF(OR(Main!T16="",Main!T16=0),"",INDEX($E$46:$AB$47,2,MATCH(Main!T16,$E$46:$AB$46,0)))</f>
        <v/>
      </c>
      <c r="U16" s="21" t="str">
        <f>IF(OR(Main!U16="",Main!U16=0),"",INDEX($E$46:$AB$47,2,MATCH(Main!U16,$E$46:$AB$46,0)))</f>
        <v/>
      </c>
      <c r="V16" s="21" t="str">
        <f>IF(OR(Main!V16="",Main!V16=0),"",INDEX($E$46:$AB$47,2,MATCH(Main!V16,$E$46:$AB$46,0)))</f>
        <v/>
      </c>
      <c r="W16" s="21" t="str">
        <f>IF(OR(Main!W16="",Main!W16=0),"",INDEX($E$46:$AB$47,2,MATCH(Main!W16,$E$46:$AB$46,0)))</f>
        <v/>
      </c>
      <c r="X16" s="21" t="str">
        <f>IF(OR(Main!X16="",Main!X16=0),"",INDEX($E$46:$AB$47,2,MATCH(Main!X16,$E$46:$AB$46,0)))</f>
        <v/>
      </c>
      <c r="Y16" s="21" t="str">
        <f>IF(OR(Main!Y16="",Main!Y16=0),"",INDEX($E$46:$AB$47,2,MATCH(Main!Y16,$E$46:$AB$46,0)))</f>
        <v/>
      </c>
      <c r="Z16" s="21" t="str">
        <f>IF(OR(Main!Z16="",Main!Z16=0),"",INDEX($E$46:$AB$47,2,MATCH(Main!Z16,$E$46:$AB$46,0)))</f>
        <v/>
      </c>
      <c r="AA16" s="21" t="str">
        <f>IF(OR(Main!AA16="",Main!AA16=0),"",INDEX($E$46:$AB$47,2,MATCH(Main!AA16,$E$46:$AB$46,0)))</f>
        <v/>
      </c>
      <c r="AB16" s="21" t="str">
        <f>IF(OR(Main!AB16="",Main!AB16=0),"",INDEX($E$46:$AB$47,2,MATCH(Main!AB16,$E$46:$AB$46,0)))</f>
        <v/>
      </c>
      <c r="AC16" s="21" t="str">
        <f>IF(OR(Main!AC16="",Main!AC16=0),"",INDEX($E$46:$AB$47,2,MATCH(Main!AC16,$E$46:$AB$46,0)))</f>
        <v/>
      </c>
      <c r="AD16" s="21" t="str">
        <f>IF(OR(Main!AD16="",Main!AD16=0),"",INDEX($E$46:$AB$47,2,MATCH(Main!AD16,$E$46:$AB$46,0)))</f>
        <v/>
      </c>
      <c r="AE16" s="21" t="str">
        <f>IF(OR(Main!AE16="",Main!AE16=0),"",INDEX($E$46:$AB$47,2,MATCH(Main!AE16,$E$46:$AB$46,0)))</f>
        <v/>
      </c>
      <c r="AF16" s="21" t="str">
        <f>IF(OR(Main!AF16="",Main!AF16=0),"",INDEX($E$46:$AB$47,2,MATCH(Main!AF16,$E$46:$AB$46,0)))</f>
        <v/>
      </c>
      <c r="AG16" s="21" t="str">
        <f>IF(OR(Main!AG16="",Main!AG16=0),"",INDEX($E$46:$AB$47,2,MATCH(Main!AG16,$E$46:$AB$46,0)))</f>
        <v/>
      </c>
      <c r="AH16" s="21" t="str">
        <f>IF(OR(Main!AH16="",Main!AH16=0),"",INDEX($E$46:$AB$47,2,MATCH(Main!AH16,$E$46:$AB$46,0)))</f>
        <v/>
      </c>
      <c r="AI16" s="21" t="str">
        <f>IF(OR(Main!AI16="",Main!AI16=0),"",INDEX($E$46:$AB$47,2,MATCH(Main!AI16,$E$46:$AB$46,0)))</f>
        <v/>
      </c>
      <c r="AJ16" s="21"/>
      <c r="AK16" s="21"/>
      <c r="AL16" s="20"/>
      <c r="AM16" s="20"/>
      <c r="AN16" s="20"/>
      <c r="AO16" s="46"/>
      <c r="AP16" s="20">
        <f t="shared" si="0"/>
        <v>0</v>
      </c>
      <c r="AQ16" s="22"/>
      <c r="AR16" s="20"/>
      <c r="AS16" s="46"/>
      <c r="AT16" s="22">
        <f>IF(Main!AS16="","",$AJ$49)</f>
        <v>19</v>
      </c>
      <c r="AU16" s="20">
        <f>IF(Main!AS16="","",$AK$49)</f>
        <v>152</v>
      </c>
    </row>
    <row r="17" spans="1:47" ht="14.25" customHeight="1" x14ac:dyDescent="0.2">
      <c r="A17" s="23">
        <v>5</v>
      </c>
      <c r="B17" s="23">
        <v>21782</v>
      </c>
      <c r="C17" s="24" t="s">
        <v>67</v>
      </c>
      <c r="D17" s="24" t="s">
        <v>62</v>
      </c>
      <c r="E17" s="21">
        <f>IF(OR(Main!E17="",Main!E17=0),"",INDEX($E$46:$AB$47,2,MATCH(Main!E17,$E$46:$AB$46,0)))</f>
        <v>0</v>
      </c>
      <c r="F17" s="21">
        <f>IF(OR(Main!F17="",Main!F17=0),"",INDEX($E$46:$AB$47,2,MATCH(Main!F17,$E$46:$AB$46,0)))</f>
        <v>0</v>
      </c>
      <c r="G17" s="21">
        <f>IF(OR(Main!G17="",Main!G17=0),"",INDEX($E$46:$AB$47,2,MATCH(Main!G17,$E$46:$AB$46,0)))</f>
        <v>0</v>
      </c>
      <c r="H17" s="21">
        <f>IF(OR(Main!H17="",Main!H17=0),"",INDEX($E$46:$AB$47,2,MATCH(Main!H17,$E$46:$AB$46,0)))</f>
        <v>0</v>
      </c>
      <c r="I17" s="21">
        <f>IF(OR(Main!I17="",Main!I17=0),"",INDEX($E$46:$AB$47,2,MATCH(Main!I17,$E$46:$AB$46,0)))</f>
        <v>0</v>
      </c>
      <c r="J17" s="21">
        <f>IF(OR(Main!J17="",Main!J17=0),"",INDEX($E$46:$AB$47,2,MATCH(Main!J17,$E$46:$AB$46,0)))</f>
        <v>0</v>
      </c>
      <c r="K17" s="21" t="str">
        <f>IF(OR(Main!K17="",Main!K17=0),"",INDEX($E$46:$AB$47,2,MATCH(Main!K17,$E$46:$AB$46,0)))</f>
        <v/>
      </c>
      <c r="L17" s="21" t="str">
        <f>IF(OR(Main!L17="",Main!L17=0),"",INDEX($E$46:$AB$47,2,MATCH(Main!L17,$E$46:$AB$46,0)))</f>
        <v/>
      </c>
      <c r="M17" s="21" t="str">
        <f>IF(OR(Main!M17="",Main!M17=0),"",INDEX($E$46:$AB$47,2,MATCH(Main!M17,$E$46:$AB$46,0)))</f>
        <v/>
      </c>
      <c r="N17" s="21" t="str">
        <f>IF(OR(Main!N17="",Main!N17=0),"",INDEX($E$46:$AB$47,2,MATCH(Main!N17,$E$46:$AB$46,0)))</f>
        <v/>
      </c>
      <c r="O17" s="21" t="str">
        <f>IF(OR(Main!O17="",Main!O17=0),"",INDEX($E$46:$AB$47,2,MATCH(Main!O17,$E$46:$AB$46,0)))</f>
        <v/>
      </c>
      <c r="P17" s="21" t="str">
        <f>IF(OR(Main!P17="",Main!P17=0),"",INDEX($E$46:$AB$47,2,MATCH(Main!P17,$E$46:$AB$46,0)))</f>
        <v/>
      </c>
      <c r="Q17" s="21" t="str">
        <f>IF(OR(Main!Q17="",Main!Q17=0),"",INDEX($E$46:$AB$47,2,MATCH(Main!Q17,$E$46:$AB$46,0)))</f>
        <v/>
      </c>
      <c r="R17" s="21" t="str">
        <f>IF(OR(Main!R17="",Main!R17=0),"",INDEX($E$46:$AB$47,2,MATCH(Main!R17,$E$46:$AB$46,0)))</f>
        <v/>
      </c>
      <c r="S17" s="21" t="str">
        <f>IF(OR(Main!S17="",Main!S17=0),"",INDEX($E$46:$AB$47,2,MATCH(Main!S17,$E$46:$AB$46,0)))</f>
        <v/>
      </c>
      <c r="T17" s="21" t="str">
        <f>IF(OR(Main!T17="",Main!T17=0),"",INDEX($E$46:$AB$47,2,MATCH(Main!T17,$E$46:$AB$46,0)))</f>
        <v/>
      </c>
      <c r="U17" s="21" t="str">
        <f>IF(OR(Main!U17="",Main!U17=0),"",INDEX($E$46:$AB$47,2,MATCH(Main!U17,$E$46:$AB$46,0)))</f>
        <v/>
      </c>
      <c r="V17" s="21" t="str">
        <f>IF(OR(Main!V17="",Main!V17=0),"",INDEX($E$46:$AB$47,2,MATCH(Main!V17,$E$46:$AB$46,0)))</f>
        <v/>
      </c>
      <c r="W17" s="21" t="str">
        <f>IF(OR(Main!W17="",Main!W17=0),"",INDEX($E$46:$AB$47,2,MATCH(Main!W17,$E$46:$AB$46,0)))</f>
        <v/>
      </c>
      <c r="X17" s="21" t="str">
        <f>IF(OR(Main!X17="",Main!X17=0),"",INDEX($E$46:$AB$47,2,MATCH(Main!X17,$E$46:$AB$46,0)))</f>
        <v/>
      </c>
      <c r="Y17" s="21" t="str">
        <f>IF(OR(Main!Y17="",Main!Y17=0),"",INDEX($E$46:$AB$47,2,MATCH(Main!Y17,$E$46:$AB$46,0)))</f>
        <v/>
      </c>
      <c r="Z17" s="21" t="str">
        <f>IF(OR(Main!Z17="",Main!Z17=0),"",INDEX($E$46:$AB$47,2,MATCH(Main!Z17,$E$46:$AB$46,0)))</f>
        <v/>
      </c>
      <c r="AA17" s="21" t="str">
        <f>IF(OR(Main!AA17="",Main!AA17=0),"",INDEX($E$46:$AB$47,2,MATCH(Main!AA17,$E$46:$AB$46,0)))</f>
        <v/>
      </c>
      <c r="AB17" s="21" t="str">
        <f>IF(OR(Main!AB17="",Main!AB17=0),"",INDEX($E$46:$AB$47,2,MATCH(Main!AB17,$E$46:$AB$46,0)))</f>
        <v/>
      </c>
      <c r="AC17" s="21" t="str">
        <f>IF(OR(Main!AC17="",Main!AC17=0),"",INDEX($E$46:$AB$47,2,MATCH(Main!AC17,$E$46:$AB$46,0)))</f>
        <v/>
      </c>
      <c r="AD17" s="21" t="str">
        <f>IF(OR(Main!AD17="",Main!AD17=0),"",INDEX($E$46:$AB$47,2,MATCH(Main!AD17,$E$46:$AB$46,0)))</f>
        <v/>
      </c>
      <c r="AE17" s="21" t="str">
        <f>IF(OR(Main!AE17="",Main!AE17=0),"",INDEX($E$46:$AB$47,2,MATCH(Main!AE17,$E$46:$AB$46,0)))</f>
        <v/>
      </c>
      <c r="AF17" s="21" t="str">
        <f>IF(OR(Main!AF17="",Main!AF17=0),"",INDEX($E$46:$AB$47,2,MATCH(Main!AF17,$E$46:$AB$46,0)))</f>
        <v/>
      </c>
      <c r="AG17" s="21" t="str">
        <f>IF(OR(Main!AG17="",Main!AG17=0),"",INDEX($E$46:$AB$47,2,MATCH(Main!AG17,$E$46:$AB$46,0)))</f>
        <v/>
      </c>
      <c r="AH17" s="21" t="str">
        <f>IF(OR(Main!AH17="",Main!AH17=0),"",INDEX($E$46:$AB$47,2,MATCH(Main!AH17,$E$46:$AB$46,0)))</f>
        <v/>
      </c>
      <c r="AI17" s="21" t="str">
        <f>IF(OR(Main!AI17="",Main!AI17=0),"",INDEX($E$46:$AB$47,2,MATCH(Main!AI17,$E$46:$AB$46,0)))</f>
        <v/>
      </c>
      <c r="AJ17" s="21"/>
      <c r="AK17" s="21"/>
      <c r="AL17" s="20"/>
      <c r="AM17" s="20"/>
      <c r="AN17" s="20"/>
      <c r="AO17" s="46"/>
      <c r="AP17" s="20">
        <f t="shared" si="0"/>
        <v>0</v>
      </c>
      <c r="AQ17" s="22"/>
      <c r="AR17" s="20"/>
      <c r="AS17" s="46"/>
      <c r="AT17" s="22">
        <f>IF(Main!AS17="","",$AJ$49)</f>
        <v>19</v>
      </c>
      <c r="AU17" s="20">
        <f>IF(Main!AS17="","",$AK$49)</f>
        <v>152</v>
      </c>
    </row>
    <row r="18" spans="1:47" ht="14.25" customHeight="1" x14ac:dyDescent="0.2">
      <c r="A18" s="23">
        <v>6</v>
      </c>
      <c r="B18" s="23">
        <v>90072</v>
      </c>
      <c r="C18" s="24" t="s">
        <v>68</v>
      </c>
      <c r="D18" s="24" t="s">
        <v>62</v>
      </c>
      <c r="E18" s="21" t="str">
        <f>IF(OR(Main!E18="",Main!E18=0),"",INDEX($E$46:$AB$47,2,MATCH(Main!E18,$E$46:$AB$46,0)))</f>
        <v/>
      </c>
      <c r="F18" s="21">
        <f>IF(OR(Main!F18="",Main!F18=0),"",INDEX($E$46:$AB$47,2,MATCH(Main!F18,$E$46:$AB$46,0)))</f>
        <v>0</v>
      </c>
      <c r="G18" s="21">
        <f>IF(OR(Main!G18="",Main!G18=0),"",INDEX($E$46:$AB$47,2,MATCH(Main!G18,$E$46:$AB$46,0)))</f>
        <v>0</v>
      </c>
      <c r="H18" s="21">
        <f>IF(OR(Main!H18="",Main!H18=0),"",INDEX($E$46:$AB$47,2,MATCH(Main!H18,$E$46:$AB$46,0)))</f>
        <v>0</v>
      </c>
      <c r="I18" s="21">
        <f>IF(OR(Main!I18="",Main!I18=0),"",INDEX($E$46:$AB$47,2,MATCH(Main!I18,$E$46:$AB$46,0)))</f>
        <v>0</v>
      </c>
      <c r="J18" s="21">
        <f>IF(OR(Main!J18="",Main!J18=0),"",INDEX($E$46:$AB$47,2,MATCH(Main!J18,$E$46:$AB$46,0)))</f>
        <v>0</v>
      </c>
      <c r="K18" s="21" t="str">
        <f>IF(OR(Main!K18="",Main!K18=0),"",INDEX($E$46:$AB$47,2,MATCH(Main!K18,$E$46:$AB$46,0)))</f>
        <v/>
      </c>
      <c r="L18" s="21" t="str">
        <f>IF(OR(Main!L18="",Main!L18=0),"",INDEX($E$46:$AB$47,2,MATCH(Main!L18,$E$46:$AB$46,0)))</f>
        <v/>
      </c>
      <c r="M18" s="21" t="str">
        <f>IF(OR(Main!M18="",Main!M18=0),"",INDEX($E$46:$AB$47,2,MATCH(Main!M18,$E$46:$AB$46,0)))</f>
        <v/>
      </c>
      <c r="N18" s="21" t="str">
        <f>IF(OR(Main!N18="",Main!N18=0),"",INDEX($E$46:$AB$47,2,MATCH(Main!N18,$E$46:$AB$46,0)))</f>
        <v/>
      </c>
      <c r="O18" s="21" t="str">
        <f>IF(OR(Main!O18="",Main!O18=0),"",INDEX($E$46:$AB$47,2,MATCH(Main!O18,$E$46:$AB$46,0)))</f>
        <v/>
      </c>
      <c r="P18" s="21" t="str">
        <f>IF(OR(Main!P18="",Main!P18=0),"",INDEX($E$46:$AB$47,2,MATCH(Main!P18,$E$46:$AB$46,0)))</f>
        <v/>
      </c>
      <c r="Q18" s="21" t="str">
        <f>IF(OR(Main!Q18="",Main!Q18=0),"",INDEX($E$46:$AB$47,2,MATCH(Main!Q18,$E$46:$AB$46,0)))</f>
        <v/>
      </c>
      <c r="R18" s="21" t="str">
        <f>IF(OR(Main!R18="",Main!R18=0),"",INDEX($E$46:$AB$47,2,MATCH(Main!R18,$E$46:$AB$46,0)))</f>
        <v/>
      </c>
      <c r="S18" s="21" t="str">
        <f>IF(OR(Main!S18="",Main!S18=0),"",INDEX($E$46:$AB$47,2,MATCH(Main!S18,$E$46:$AB$46,0)))</f>
        <v/>
      </c>
      <c r="T18" s="21" t="str">
        <f>IF(OR(Main!T18="",Main!T18=0),"",INDEX($E$46:$AB$47,2,MATCH(Main!T18,$E$46:$AB$46,0)))</f>
        <v/>
      </c>
      <c r="U18" s="21" t="str">
        <f>IF(OR(Main!U18="",Main!U18=0),"",INDEX($E$46:$AB$47,2,MATCH(Main!U18,$E$46:$AB$46,0)))</f>
        <v/>
      </c>
      <c r="V18" s="21" t="str">
        <f>IF(OR(Main!V18="",Main!V18=0),"",INDEX($E$46:$AB$47,2,MATCH(Main!V18,$E$46:$AB$46,0)))</f>
        <v/>
      </c>
      <c r="W18" s="21" t="str">
        <f>IF(OR(Main!W18="",Main!W18=0),"",INDEX($E$46:$AB$47,2,MATCH(Main!W18,$E$46:$AB$46,0)))</f>
        <v/>
      </c>
      <c r="X18" s="21" t="str">
        <f>IF(OR(Main!X18="",Main!X18=0),"",INDEX($E$46:$AB$47,2,MATCH(Main!X18,$E$46:$AB$46,0)))</f>
        <v/>
      </c>
      <c r="Y18" s="21" t="str">
        <f>IF(OR(Main!Y18="",Main!Y18=0),"",INDEX($E$46:$AB$47,2,MATCH(Main!Y18,$E$46:$AB$46,0)))</f>
        <v/>
      </c>
      <c r="Z18" s="21" t="str">
        <f>IF(OR(Main!Z18="",Main!Z18=0),"",INDEX($E$46:$AB$47,2,MATCH(Main!Z18,$E$46:$AB$46,0)))</f>
        <v/>
      </c>
      <c r="AA18" s="21" t="str">
        <f>IF(OR(Main!AA18="",Main!AA18=0),"",INDEX($E$46:$AB$47,2,MATCH(Main!AA18,$E$46:$AB$46,0)))</f>
        <v/>
      </c>
      <c r="AB18" s="21" t="str">
        <f>IF(OR(Main!AB18="",Main!AB18=0),"",INDEX($E$46:$AB$47,2,MATCH(Main!AB18,$E$46:$AB$46,0)))</f>
        <v/>
      </c>
      <c r="AC18" s="21" t="str">
        <f>IF(OR(Main!AC18="",Main!AC18=0),"",INDEX($E$46:$AB$47,2,MATCH(Main!AC18,$E$46:$AB$46,0)))</f>
        <v/>
      </c>
      <c r="AD18" s="21" t="str">
        <f>IF(OR(Main!AD18="",Main!AD18=0),"",INDEX($E$46:$AB$47,2,MATCH(Main!AD18,$E$46:$AB$46,0)))</f>
        <v/>
      </c>
      <c r="AE18" s="21" t="str">
        <f>IF(OR(Main!AE18="",Main!AE18=0),"",INDEX($E$46:$AB$47,2,MATCH(Main!AE18,$E$46:$AB$46,0)))</f>
        <v/>
      </c>
      <c r="AF18" s="21" t="str">
        <f>IF(OR(Main!AF18="",Main!AF18=0),"",INDEX($E$46:$AB$47,2,MATCH(Main!AF18,$E$46:$AB$46,0)))</f>
        <v/>
      </c>
      <c r="AG18" s="21" t="str">
        <f>IF(OR(Main!AG18="",Main!AG18=0),"",INDEX($E$46:$AB$47,2,MATCH(Main!AG18,$E$46:$AB$46,0)))</f>
        <v/>
      </c>
      <c r="AH18" s="21" t="str">
        <f>IF(OR(Main!AH18="",Main!AH18=0),"",INDEX($E$46:$AB$47,2,MATCH(Main!AH18,$E$46:$AB$46,0)))</f>
        <v/>
      </c>
      <c r="AI18" s="21" t="str">
        <f>IF(OR(Main!AI18="",Main!AI18=0),"",INDEX($E$46:$AB$47,2,MATCH(Main!AI18,$E$46:$AB$46,0)))</f>
        <v/>
      </c>
      <c r="AJ18" s="21"/>
      <c r="AK18" s="21"/>
      <c r="AL18" s="20"/>
      <c r="AM18" s="20"/>
      <c r="AN18" s="20"/>
      <c r="AO18" s="46"/>
      <c r="AP18" s="20">
        <f t="shared" si="0"/>
        <v>0</v>
      </c>
      <c r="AQ18" s="22"/>
      <c r="AR18" s="20"/>
      <c r="AS18" s="46"/>
      <c r="AT18" s="22">
        <f>IF(Main!AS18="","",$AJ$49)</f>
        <v>19</v>
      </c>
      <c r="AU18" s="20">
        <f>IF(Main!AS18="","",$AK$49)</f>
        <v>152</v>
      </c>
    </row>
    <row r="19" spans="1:47" ht="14.25" customHeight="1" x14ac:dyDescent="0.2">
      <c r="A19" s="23">
        <v>7</v>
      </c>
      <c r="B19" s="23">
        <v>63549</v>
      </c>
      <c r="C19" s="24" t="s">
        <v>69</v>
      </c>
      <c r="D19" s="24" t="s">
        <v>62</v>
      </c>
      <c r="E19" s="21" t="str">
        <f>IF(OR(Main!E19="",Main!E19=0),"",INDEX($E$46:$AB$47,2,MATCH(Main!E19,$E$46:$AB$46,0)))</f>
        <v/>
      </c>
      <c r="F19" s="21">
        <f>IF(OR(Main!F19="",Main!F19=0),"",INDEX($E$46:$AB$47,2,MATCH(Main!F19,$E$46:$AB$46,0)))</f>
        <v>0</v>
      </c>
      <c r="G19" s="21">
        <f>IF(OR(Main!G19="",Main!G19=0),"",INDEX($E$46:$AB$47,2,MATCH(Main!G19,$E$46:$AB$46,0)))</f>
        <v>0</v>
      </c>
      <c r="H19" s="21">
        <f>IF(OR(Main!H19="",Main!H19=0),"",INDEX($E$46:$AB$47,2,MATCH(Main!H19,$E$46:$AB$46,0)))</f>
        <v>0</v>
      </c>
      <c r="I19" s="21">
        <f>IF(OR(Main!I19="",Main!I19=0),"",INDEX($E$46:$AB$47,2,MATCH(Main!I19,$E$46:$AB$46,0)))</f>
        <v>0</v>
      </c>
      <c r="J19" s="21">
        <f>IF(OR(Main!J19="",Main!J19=0),"",INDEX($E$46:$AB$47,2,MATCH(Main!J19,$E$46:$AB$46,0)))</f>
        <v>0</v>
      </c>
      <c r="K19" s="21" t="str">
        <f>IF(OR(Main!K19="",Main!K19=0),"",INDEX($E$46:$AB$47,2,MATCH(Main!K19,$E$46:$AB$46,0)))</f>
        <v/>
      </c>
      <c r="L19" s="21" t="str">
        <f>IF(OR(Main!L19="",Main!L19=0),"",INDEX($E$46:$AB$47,2,MATCH(Main!L19,$E$46:$AB$46,0)))</f>
        <v/>
      </c>
      <c r="M19" s="21" t="str">
        <f>IF(OR(Main!M19="",Main!M19=0),"",INDEX($E$46:$AB$47,2,MATCH(Main!M19,$E$46:$AB$46,0)))</f>
        <v/>
      </c>
      <c r="N19" s="21" t="str">
        <f>IF(OR(Main!N19="",Main!N19=0),"",INDEX($E$46:$AB$47,2,MATCH(Main!N19,$E$46:$AB$46,0)))</f>
        <v/>
      </c>
      <c r="O19" s="21" t="str">
        <f>IF(OR(Main!O19="",Main!O19=0),"",INDEX($E$46:$AB$47,2,MATCH(Main!O19,$E$46:$AB$46,0)))</f>
        <v/>
      </c>
      <c r="P19" s="21" t="str">
        <f>IF(OR(Main!P19="",Main!P19=0),"",INDEX($E$46:$AB$47,2,MATCH(Main!P19,$E$46:$AB$46,0)))</f>
        <v/>
      </c>
      <c r="Q19" s="21" t="str">
        <f>IF(OR(Main!Q19="",Main!Q19=0),"",INDEX($E$46:$AB$47,2,MATCH(Main!Q19,$E$46:$AB$46,0)))</f>
        <v/>
      </c>
      <c r="R19" s="21" t="str">
        <f>IF(OR(Main!R19="",Main!R19=0),"",INDEX($E$46:$AB$47,2,MATCH(Main!R19,$E$46:$AB$46,0)))</f>
        <v/>
      </c>
      <c r="S19" s="21" t="str">
        <f>IF(OR(Main!S19="",Main!S19=0),"",INDEX($E$46:$AB$47,2,MATCH(Main!S19,$E$46:$AB$46,0)))</f>
        <v/>
      </c>
      <c r="T19" s="21" t="str">
        <f>IF(OR(Main!T19="",Main!T19=0),"",INDEX($E$46:$AB$47,2,MATCH(Main!T19,$E$46:$AB$46,0)))</f>
        <v/>
      </c>
      <c r="U19" s="21" t="str">
        <f>IF(OR(Main!U19="",Main!U19=0),"",INDEX($E$46:$AB$47,2,MATCH(Main!U19,$E$46:$AB$46,0)))</f>
        <v/>
      </c>
      <c r="V19" s="21" t="str">
        <f>IF(OR(Main!V19="",Main!V19=0),"",INDEX($E$46:$AB$47,2,MATCH(Main!V19,$E$46:$AB$46,0)))</f>
        <v/>
      </c>
      <c r="W19" s="21" t="str">
        <f>IF(OR(Main!W19="",Main!W19=0),"",INDEX($E$46:$AB$47,2,MATCH(Main!W19,$E$46:$AB$46,0)))</f>
        <v/>
      </c>
      <c r="X19" s="21" t="str">
        <f>IF(OR(Main!X19="",Main!X19=0),"",INDEX($E$46:$AB$47,2,MATCH(Main!X19,$E$46:$AB$46,0)))</f>
        <v/>
      </c>
      <c r="Y19" s="21" t="str">
        <f>IF(OR(Main!Y19="",Main!Y19=0),"",INDEX($E$46:$AB$47,2,MATCH(Main!Y19,$E$46:$AB$46,0)))</f>
        <v/>
      </c>
      <c r="Z19" s="21" t="str">
        <f>IF(OR(Main!Z19="",Main!Z19=0),"",INDEX($E$46:$AB$47,2,MATCH(Main!Z19,$E$46:$AB$46,0)))</f>
        <v/>
      </c>
      <c r="AA19" s="21" t="str">
        <f>IF(OR(Main!AA19="",Main!AA19=0),"",INDEX($E$46:$AB$47,2,MATCH(Main!AA19,$E$46:$AB$46,0)))</f>
        <v/>
      </c>
      <c r="AB19" s="21" t="str">
        <f>IF(OR(Main!AB19="",Main!AB19=0),"",INDEX($E$46:$AB$47,2,MATCH(Main!AB19,$E$46:$AB$46,0)))</f>
        <v/>
      </c>
      <c r="AC19" s="21" t="str">
        <f>IF(OR(Main!AC19="",Main!AC19=0),"",INDEX($E$46:$AB$47,2,MATCH(Main!AC19,$E$46:$AB$46,0)))</f>
        <v/>
      </c>
      <c r="AD19" s="21" t="str">
        <f>IF(OR(Main!AD19="",Main!AD19=0),"",INDEX($E$46:$AB$47,2,MATCH(Main!AD19,$E$46:$AB$46,0)))</f>
        <v/>
      </c>
      <c r="AE19" s="21" t="str">
        <f>IF(OR(Main!AE19="",Main!AE19=0),"",INDEX($E$46:$AB$47,2,MATCH(Main!AE19,$E$46:$AB$46,0)))</f>
        <v/>
      </c>
      <c r="AF19" s="21" t="str">
        <f>IF(OR(Main!AF19="",Main!AF19=0),"",INDEX($E$46:$AB$47,2,MATCH(Main!AF19,$E$46:$AB$46,0)))</f>
        <v/>
      </c>
      <c r="AG19" s="21" t="str">
        <f>IF(OR(Main!AG19="",Main!AG19=0),"",INDEX($E$46:$AB$47,2,MATCH(Main!AG19,$E$46:$AB$46,0)))</f>
        <v/>
      </c>
      <c r="AH19" s="21" t="str">
        <f>IF(OR(Main!AH19="",Main!AH19=0),"",INDEX($E$46:$AB$47,2,MATCH(Main!AH19,$E$46:$AB$46,0)))</f>
        <v/>
      </c>
      <c r="AI19" s="21" t="str">
        <f>IF(OR(Main!AI19="",Main!AI19=0),"",INDEX($E$46:$AB$47,2,MATCH(Main!AI19,$E$46:$AB$46,0)))</f>
        <v/>
      </c>
      <c r="AJ19" s="21"/>
      <c r="AK19" s="21"/>
      <c r="AL19" s="20"/>
      <c r="AM19" s="20"/>
      <c r="AN19" s="20"/>
      <c r="AO19" s="46"/>
      <c r="AP19" s="20">
        <f t="shared" si="0"/>
        <v>0</v>
      </c>
      <c r="AQ19" s="22"/>
      <c r="AR19" s="20"/>
      <c r="AS19" s="46"/>
      <c r="AT19" s="22">
        <f>IF(Main!AS19="","",$AJ$49)</f>
        <v>19</v>
      </c>
      <c r="AU19" s="20">
        <f>IF(Main!AS19="","",$AK$49)</f>
        <v>152</v>
      </c>
    </row>
    <row r="20" spans="1:47" ht="14.25" customHeight="1" x14ac:dyDescent="0.2">
      <c r="A20" s="23">
        <v>8</v>
      </c>
      <c r="B20" s="23">
        <v>12377</v>
      </c>
      <c r="C20" s="24" t="s">
        <v>70</v>
      </c>
      <c r="D20" s="24" t="s">
        <v>62</v>
      </c>
      <c r="E20" s="21" t="str">
        <f>IF(OR(Main!E20="",Main!E20=0),"",INDEX($E$46:$AB$47,2,MATCH(Main!E20,$E$46:$AB$46,0)))</f>
        <v/>
      </c>
      <c r="F20" s="21">
        <f>IF(OR(Main!F20="",Main!F20=0),"",INDEX($E$46:$AB$47,2,MATCH(Main!F20,$E$46:$AB$46,0)))</f>
        <v>0</v>
      </c>
      <c r="G20" s="21">
        <f>IF(OR(Main!G20="",Main!G20=0),"",INDEX($E$46:$AB$47,2,MATCH(Main!G20,$E$46:$AB$46,0)))</f>
        <v>0</v>
      </c>
      <c r="H20" s="21">
        <f>IF(OR(Main!H20="",Main!H20=0),"",INDEX($E$46:$AB$47,2,MATCH(Main!H20,$E$46:$AB$46,0)))</f>
        <v>0</v>
      </c>
      <c r="I20" s="21">
        <f>IF(OR(Main!I20="",Main!I20=0),"",INDEX($E$46:$AB$47,2,MATCH(Main!I20,$E$46:$AB$46,0)))</f>
        <v>0</v>
      </c>
      <c r="J20" s="21">
        <f>IF(OR(Main!J20="",Main!J20=0),"",INDEX($E$46:$AB$47,2,MATCH(Main!J20,$E$46:$AB$46,0)))</f>
        <v>0</v>
      </c>
      <c r="K20" s="21" t="str">
        <f>IF(OR(Main!K20="",Main!K20=0),"",INDEX($E$46:$AB$47,2,MATCH(Main!K20,$E$46:$AB$46,0)))</f>
        <v/>
      </c>
      <c r="L20" s="21" t="str">
        <f>IF(OR(Main!L20="",Main!L20=0),"",INDEX($E$46:$AB$47,2,MATCH(Main!L20,$E$46:$AB$46,0)))</f>
        <v/>
      </c>
      <c r="M20" s="21" t="str">
        <f>IF(OR(Main!M20="",Main!M20=0),"",INDEX($E$46:$AB$47,2,MATCH(Main!M20,$E$46:$AB$46,0)))</f>
        <v/>
      </c>
      <c r="N20" s="21" t="str">
        <f>IF(OR(Main!N20="",Main!N20=0),"",INDEX($E$46:$AB$47,2,MATCH(Main!N20,$E$46:$AB$46,0)))</f>
        <v/>
      </c>
      <c r="O20" s="21" t="str">
        <f>IF(OR(Main!O20="",Main!O20=0),"",INDEX($E$46:$AB$47,2,MATCH(Main!O20,$E$46:$AB$46,0)))</f>
        <v/>
      </c>
      <c r="P20" s="21" t="str">
        <f>IF(OR(Main!P20="",Main!P20=0),"",INDEX($E$46:$AB$47,2,MATCH(Main!P20,$E$46:$AB$46,0)))</f>
        <v/>
      </c>
      <c r="Q20" s="21" t="str">
        <f>IF(OR(Main!Q20="",Main!Q20=0),"",INDEX($E$46:$AB$47,2,MATCH(Main!Q20,$E$46:$AB$46,0)))</f>
        <v/>
      </c>
      <c r="R20" s="21" t="str">
        <f>IF(OR(Main!R20="",Main!R20=0),"",INDEX($E$46:$AB$47,2,MATCH(Main!R20,$E$46:$AB$46,0)))</f>
        <v/>
      </c>
      <c r="S20" s="21" t="str">
        <f>IF(OR(Main!S20="",Main!S20=0),"",INDEX($E$46:$AB$47,2,MATCH(Main!S20,$E$46:$AB$46,0)))</f>
        <v/>
      </c>
      <c r="T20" s="21" t="str">
        <f>IF(OR(Main!T20="",Main!T20=0),"",INDEX($E$46:$AB$47,2,MATCH(Main!T20,$E$46:$AB$46,0)))</f>
        <v/>
      </c>
      <c r="U20" s="21" t="str">
        <f>IF(OR(Main!U20="",Main!U20=0),"",INDEX($E$46:$AB$47,2,MATCH(Main!U20,$E$46:$AB$46,0)))</f>
        <v/>
      </c>
      <c r="V20" s="21" t="str">
        <f>IF(OR(Main!V20="",Main!V20=0),"",INDEX($E$46:$AB$47,2,MATCH(Main!V20,$E$46:$AB$46,0)))</f>
        <v/>
      </c>
      <c r="W20" s="21" t="str">
        <f>IF(OR(Main!W20="",Main!W20=0),"",INDEX($E$46:$AB$47,2,MATCH(Main!W20,$E$46:$AB$46,0)))</f>
        <v/>
      </c>
      <c r="X20" s="21" t="str">
        <f>IF(OR(Main!X20="",Main!X20=0),"",INDEX($E$46:$AB$47,2,MATCH(Main!X20,$E$46:$AB$46,0)))</f>
        <v/>
      </c>
      <c r="Y20" s="21" t="str">
        <f>IF(OR(Main!Y20="",Main!Y20=0),"",INDEX($E$46:$AB$47,2,MATCH(Main!Y20,$E$46:$AB$46,0)))</f>
        <v/>
      </c>
      <c r="Z20" s="21" t="str">
        <f>IF(OR(Main!Z20="",Main!Z20=0),"",INDEX($E$46:$AB$47,2,MATCH(Main!Z20,$E$46:$AB$46,0)))</f>
        <v/>
      </c>
      <c r="AA20" s="21" t="str">
        <f>IF(OR(Main!AA20="",Main!AA20=0),"",INDEX($E$46:$AB$47,2,MATCH(Main!AA20,$E$46:$AB$46,0)))</f>
        <v/>
      </c>
      <c r="AB20" s="21" t="str">
        <f>IF(OR(Main!AB20="",Main!AB20=0),"",INDEX($E$46:$AB$47,2,MATCH(Main!AB20,$E$46:$AB$46,0)))</f>
        <v/>
      </c>
      <c r="AC20" s="21" t="str">
        <f>IF(OR(Main!AC20="",Main!AC20=0),"",INDEX($E$46:$AB$47,2,MATCH(Main!AC20,$E$46:$AB$46,0)))</f>
        <v/>
      </c>
      <c r="AD20" s="21" t="str">
        <f>IF(OR(Main!AD20="",Main!AD20=0),"",INDEX($E$46:$AB$47,2,MATCH(Main!AD20,$E$46:$AB$46,0)))</f>
        <v/>
      </c>
      <c r="AE20" s="21" t="str">
        <f>IF(OR(Main!AE20="",Main!AE20=0),"",INDEX($E$46:$AB$47,2,MATCH(Main!AE20,$E$46:$AB$46,0)))</f>
        <v/>
      </c>
      <c r="AF20" s="21" t="str">
        <f>IF(OR(Main!AF20="",Main!AF20=0),"",INDEX($E$46:$AB$47,2,MATCH(Main!AF20,$E$46:$AB$46,0)))</f>
        <v/>
      </c>
      <c r="AG20" s="21" t="str">
        <f>IF(OR(Main!AG20="",Main!AG20=0),"",INDEX($E$46:$AB$47,2,MATCH(Main!AG20,$E$46:$AB$46,0)))</f>
        <v/>
      </c>
      <c r="AH20" s="21" t="str">
        <f>IF(OR(Main!AH20="",Main!AH20=0),"",INDEX($E$46:$AB$47,2,MATCH(Main!AH20,$E$46:$AB$46,0)))</f>
        <v/>
      </c>
      <c r="AI20" s="21" t="str">
        <f>IF(OR(Main!AI20="",Main!AI20=0),"",INDEX($E$46:$AB$47,2,MATCH(Main!AI20,$E$46:$AB$46,0)))</f>
        <v/>
      </c>
      <c r="AJ20" s="21"/>
      <c r="AK20" s="21"/>
      <c r="AL20" s="20"/>
      <c r="AM20" s="20"/>
      <c r="AN20" s="20"/>
      <c r="AO20" s="46"/>
      <c r="AP20" s="20">
        <f t="shared" si="0"/>
        <v>0</v>
      </c>
      <c r="AQ20" s="22"/>
      <c r="AR20" s="20"/>
      <c r="AS20" s="46"/>
      <c r="AT20" s="22">
        <f>IF(Main!AS20="","",$AJ$49)</f>
        <v>19</v>
      </c>
      <c r="AU20" s="20">
        <f>IF(Main!AS20="","",$AK$49)</f>
        <v>152</v>
      </c>
    </row>
    <row r="21" spans="1:47" ht="14.25" customHeight="1" x14ac:dyDescent="0.2">
      <c r="A21" s="23">
        <v>9</v>
      </c>
      <c r="B21" s="23">
        <v>63558</v>
      </c>
      <c r="C21" s="24" t="s">
        <v>71</v>
      </c>
      <c r="D21" s="24" t="s">
        <v>62</v>
      </c>
      <c r="E21" s="21">
        <f>IF(OR(Main!E21="",Main!E21=0),"",INDEX($E$46:$AB$47,2,MATCH(Main!E21,$E$46:$AB$46,0)))</f>
        <v>0</v>
      </c>
      <c r="F21" s="21">
        <f>IF(OR(Main!F21="",Main!F21=0),"",INDEX($E$46:$AB$47,2,MATCH(Main!F21,$E$46:$AB$46,0)))</f>
        <v>0</v>
      </c>
      <c r="G21" s="21">
        <f>IF(OR(Main!G21="",Main!G21=0),"",INDEX($E$46:$AB$47,2,MATCH(Main!G21,$E$46:$AB$46,0)))</f>
        <v>0</v>
      </c>
      <c r="H21" s="21">
        <f>IF(OR(Main!H21="",Main!H21=0),"",INDEX($E$46:$AB$47,2,MATCH(Main!H21,$E$46:$AB$46,0)))</f>
        <v>0</v>
      </c>
      <c r="I21" s="21">
        <f>IF(OR(Main!I21="",Main!I21=0),"",INDEX($E$46:$AB$47,2,MATCH(Main!I21,$E$46:$AB$46,0)))</f>
        <v>0</v>
      </c>
      <c r="J21" s="21">
        <f>IF(OR(Main!J21="",Main!J21=0),"",INDEX($E$46:$AB$47,2,MATCH(Main!J21,$E$46:$AB$46,0)))</f>
        <v>0</v>
      </c>
      <c r="K21" s="21">
        <f>IF(OR(Main!K21="",Main!K21=0),"",INDEX($E$46:$AB$47,2,MATCH(Main!K21,$E$46:$AB$46,0)))</f>
        <v>0</v>
      </c>
      <c r="L21" s="21">
        <f>IF(OR(Main!L21="",Main!L21=0),"",INDEX($E$46:$AB$47,2,MATCH(Main!L21,$E$46:$AB$46,0)))</f>
        <v>0</v>
      </c>
      <c r="M21" s="21" t="str">
        <f>IF(OR(Main!M21="",Main!M21=0),"",INDEX($E$46:$AB$47,2,MATCH(Main!M21,$E$46:$AB$46,0)))</f>
        <v/>
      </c>
      <c r="N21" s="21" t="str">
        <f>IF(OR(Main!N21="",Main!N21=0),"",INDEX($E$46:$AB$47,2,MATCH(Main!N21,$E$46:$AB$46,0)))</f>
        <v/>
      </c>
      <c r="O21" s="21" t="str">
        <f>IF(OR(Main!O21="",Main!O21=0),"",INDEX($E$46:$AB$47,2,MATCH(Main!O21,$E$46:$AB$46,0)))</f>
        <v/>
      </c>
      <c r="P21" s="21" t="str">
        <f>IF(OR(Main!P21="",Main!P21=0),"",INDEX($E$46:$AB$47,2,MATCH(Main!P21,$E$46:$AB$46,0)))</f>
        <v/>
      </c>
      <c r="Q21" s="21" t="str">
        <f>IF(OR(Main!Q21="",Main!Q21=0),"",INDEX($E$46:$AB$47,2,MATCH(Main!Q21,$E$46:$AB$46,0)))</f>
        <v/>
      </c>
      <c r="R21" s="21" t="str">
        <f>IF(OR(Main!R21="",Main!R21=0),"",INDEX($E$46:$AB$47,2,MATCH(Main!R21,$E$46:$AB$46,0)))</f>
        <v/>
      </c>
      <c r="S21" s="21" t="str">
        <f>IF(OR(Main!S21="",Main!S21=0),"",INDEX($E$46:$AB$47,2,MATCH(Main!S21,$E$46:$AB$46,0)))</f>
        <v/>
      </c>
      <c r="T21" s="21" t="str">
        <f>IF(OR(Main!T21="",Main!T21=0),"",INDEX($E$46:$AB$47,2,MATCH(Main!T21,$E$46:$AB$46,0)))</f>
        <v/>
      </c>
      <c r="U21" s="21" t="str">
        <f>IF(OR(Main!U21="",Main!U21=0),"",INDEX($E$46:$AB$47,2,MATCH(Main!U21,$E$46:$AB$46,0)))</f>
        <v/>
      </c>
      <c r="V21" s="21" t="str">
        <f>IF(OR(Main!V21="",Main!V21=0),"",INDEX($E$46:$AB$47,2,MATCH(Main!V21,$E$46:$AB$46,0)))</f>
        <v/>
      </c>
      <c r="W21" s="21" t="str">
        <f>IF(OR(Main!W21="",Main!W21=0),"",INDEX($E$46:$AB$47,2,MATCH(Main!W21,$E$46:$AB$46,0)))</f>
        <v/>
      </c>
      <c r="X21" s="21" t="str">
        <f>IF(OR(Main!X21="",Main!X21=0),"",INDEX($E$46:$AB$47,2,MATCH(Main!X21,$E$46:$AB$46,0)))</f>
        <v/>
      </c>
      <c r="Y21" s="21" t="str">
        <f>IF(OR(Main!Y21="",Main!Y21=0),"",INDEX($E$46:$AB$47,2,MATCH(Main!Y21,$E$46:$AB$46,0)))</f>
        <v/>
      </c>
      <c r="Z21" s="21" t="str">
        <f>IF(OR(Main!Z21="",Main!Z21=0),"",INDEX($E$46:$AB$47,2,MATCH(Main!Z21,$E$46:$AB$46,0)))</f>
        <v/>
      </c>
      <c r="AA21" s="21" t="str">
        <f>IF(OR(Main!AA21="",Main!AA21=0),"",INDEX($E$46:$AB$47,2,MATCH(Main!AA21,$E$46:$AB$46,0)))</f>
        <v/>
      </c>
      <c r="AB21" s="21" t="str">
        <f>IF(OR(Main!AB21="",Main!AB21=0),"",INDEX($E$46:$AB$47,2,MATCH(Main!AB21,$E$46:$AB$46,0)))</f>
        <v/>
      </c>
      <c r="AC21" s="21" t="str">
        <f>IF(OR(Main!AC21="",Main!AC21=0),"",INDEX($E$46:$AB$47,2,MATCH(Main!AC21,$E$46:$AB$46,0)))</f>
        <v/>
      </c>
      <c r="AD21" s="21" t="str">
        <f>IF(OR(Main!AD21="",Main!AD21=0),"",INDEX($E$46:$AB$47,2,MATCH(Main!AD21,$E$46:$AB$46,0)))</f>
        <v/>
      </c>
      <c r="AE21" s="21" t="str">
        <f>IF(OR(Main!AE21="",Main!AE21=0),"",INDEX($E$46:$AB$47,2,MATCH(Main!AE21,$E$46:$AB$46,0)))</f>
        <v/>
      </c>
      <c r="AF21" s="21" t="str">
        <f>IF(OR(Main!AF21="",Main!AF21=0),"",INDEX($E$46:$AB$47,2,MATCH(Main!AF21,$E$46:$AB$46,0)))</f>
        <v/>
      </c>
      <c r="AG21" s="21" t="str">
        <f>IF(OR(Main!AG21="",Main!AG21=0),"",INDEX($E$46:$AB$47,2,MATCH(Main!AG21,$E$46:$AB$46,0)))</f>
        <v/>
      </c>
      <c r="AH21" s="21" t="str">
        <f>IF(OR(Main!AH21="",Main!AH21=0),"",INDEX($E$46:$AB$47,2,MATCH(Main!AH21,$E$46:$AB$46,0)))</f>
        <v/>
      </c>
      <c r="AI21" s="21" t="str">
        <f>IF(OR(Main!AI21="",Main!AI21=0),"",INDEX($E$46:$AB$47,2,MATCH(Main!AI21,$E$46:$AB$46,0)))</f>
        <v/>
      </c>
      <c r="AJ21" s="21"/>
      <c r="AK21" s="21"/>
      <c r="AL21" s="20"/>
      <c r="AM21" s="20"/>
      <c r="AN21" s="20"/>
      <c r="AO21" s="46"/>
      <c r="AP21" s="20">
        <f t="shared" si="0"/>
        <v>0</v>
      </c>
      <c r="AQ21" s="22"/>
      <c r="AR21" s="20"/>
      <c r="AS21" s="46"/>
      <c r="AT21" s="22" t="str">
        <f>IF(Main!AS21="","",$AJ$49)</f>
        <v/>
      </c>
      <c r="AU21" s="20" t="str">
        <f>IF(Main!AS21="","",$AK$49)</f>
        <v/>
      </c>
    </row>
    <row r="22" spans="1:47" ht="12.75" customHeight="1" x14ac:dyDescent="0.2">
      <c r="A22" s="23">
        <v>10</v>
      </c>
      <c r="B22" s="23">
        <v>31178</v>
      </c>
      <c r="C22" s="24" t="s">
        <v>72</v>
      </c>
      <c r="D22" s="25" t="s">
        <v>62</v>
      </c>
      <c r="E22" s="21" t="str">
        <f>IF(OR(Main!E22="",Main!E22=0),"",INDEX($E$46:$AB$47,2,MATCH(Main!E22,$E$46:$AB$46,0)))</f>
        <v/>
      </c>
      <c r="F22" s="21">
        <f>IF(OR(Main!F22="",Main!F22=0),"",INDEX($E$46:$AB$47,2,MATCH(Main!F22,$E$46:$AB$46,0)))</f>
        <v>0</v>
      </c>
      <c r="G22" s="21">
        <f>IF(OR(Main!G22="",Main!G22=0),"",INDEX($E$46:$AB$47,2,MATCH(Main!G22,$E$46:$AB$46,0)))</f>
        <v>0</v>
      </c>
      <c r="H22" s="21">
        <f>IF(OR(Main!H22="",Main!H22=0),"",INDEX($E$46:$AB$47,2,MATCH(Main!H22,$E$46:$AB$46,0)))</f>
        <v>0</v>
      </c>
      <c r="I22" s="21">
        <f>IF(OR(Main!I22="",Main!I22=0),"",INDEX($E$46:$AB$47,2,MATCH(Main!I22,$E$46:$AB$46,0)))</f>
        <v>0</v>
      </c>
      <c r="J22" s="21">
        <f>IF(OR(Main!J22="",Main!J22=0),"",INDEX($E$46:$AB$47,2,MATCH(Main!J22,$E$46:$AB$46,0)))</f>
        <v>0</v>
      </c>
      <c r="K22" s="21" t="str">
        <f>IF(OR(Main!K22="",Main!K22=0),"",INDEX($E$46:$AB$47,2,MATCH(Main!K22,$E$46:$AB$46,0)))</f>
        <v/>
      </c>
      <c r="L22" s="21" t="str">
        <f>IF(OR(Main!L22="",Main!L22=0),"",INDEX($E$46:$AB$47,2,MATCH(Main!L22,$E$46:$AB$46,0)))</f>
        <v/>
      </c>
      <c r="M22" s="21" t="str">
        <f>IF(OR(Main!M22="",Main!M22=0),"",INDEX($E$46:$AB$47,2,MATCH(Main!M22,$E$46:$AB$46,0)))</f>
        <v/>
      </c>
      <c r="N22" s="21" t="str">
        <f>IF(OR(Main!N22="",Main!N22=0),"",INDEX($E$46:$AB$47,2,MATCH(Main!N22,$E$46:$AB$46,0)))</f>
        <v/>
      </c>
      <c r="O22" s="21" t="str">
        <f>IF(OR(Main!O22="",Main!O22=0),"",INDEX($E$46:$AB$47,2,MATCH(Main!O22,$E$46:$AB$46,0)))</f>
        <v/>
      </c>
      <c r="P22" s="21" t="str">
        <f>IF(OR(Main!P22="",Main!P22=0),"",INDEX($E$46:$AB$47,2,MATCH(Main!P22,$E$46:$AB$46,0)))</f>
        <v/>
      </c>
      <c r="Q22" s="21" t="str">
        <f>IF(OR(Main!Q22="",Main!Q22=0),"",INDEX($E$46:$AB$47,2,MATCH(Main!Q22,$E$46:$AB$46,0)))</f>
        <v/>
      </c>
      <c r="R22" s="21" t="str">
        <f>IF(OR(Main!R22="",Main!R22=0),"",INDEX($E$46:$AB$47,2,MATCH(Main!R22,$E$46:$AB$46,0)))</f>
        <v/>
      </c>
      <c r="S22" s="21" t="str">
        <f>IF(OR(Main!S22="",Main!S22=0),"",INDEX($E$46:$AB$47,2,MATCH(Main!S22,$E$46:$AB$46,0)))</f>
        <v/>
      </c>
      <c r="T22" s="21" t="str">
        <f>IF(OR(Main!T22="",Main!T22=0),"",INDEX($E$46:$AB$47,2,MATCH(Main!T22,$E$46:$AB$46,0)))</f>
        <v/>
      </c>
      <c r="U22" s="21" t="str">
        <f>IF(OR(Main!U22="",Main!U22=0),"",INDEX($E$46:$AB$47,2,MATCH(Main!U22,$E$46:$AB$46,0)))</f>
        <v/>
      </c>
      <c r="V22" s="21" t="str">
        <f>IF(OR(Main!V22="",Main!V22=0),"",INDEX($E$46:$AB$47,2,MATCH(Main!V22,$E$46:$AB$46,0)))</f>
        <v/>
      </c>
      <c r="W22" s="21" t="str">
        <f>IF(OR(Main!W22="",Main!W22=0),"",INDEX($E$46:$AB$47,2,MATCH(Main!W22,$E$46:$AB$46,0)))</f>
        <v/>
      </c>
      <c r="X22" s="21" t="str">
        <f>IF(OR(Main!X22="",Main!X22=0),"",INDEX($E$46:$AB$47,2,MATCH(Main!X22,$E$46:$AB$46,0)))</f>
        <v/>
      </c>
      <c r="Y22" s="21" t="str">
        <f>IF(OR(Main!Y22="",Main!Y22=0),"",INDEX($E$46:$AB$47,2,MATCH(Main!Y22,$E$46:$AB$46,0)))</f>
        <v/>
      </c>
      <c r="Z22" s="21" t="str">
        <f>IF(OR(Main!Z22="",Main!Z22=0),"",INDEX($E$46:$AB$47,2,MATCH(Main!Z22,$E$46:$AB$46,0)))</f>
        <v/>
      </c>
      <c r="AA22" s="21" t="str">
        <f>IF(OR(Main!AA22="",Main!AA22=0),"",INDEX($E$46:$AB$47,2,MATCH(Main!AA22,$E$46:$AB$46,0)))</f>
        <v/>
      </c>
      <c r="AB22" s="21" t="str">
        <f>IF(OR(Main!AB22="",Main!AB22=0),"",INDEX($E$46:$AB$47,2,MATCH(Main!AB22,$E$46:$AB$46,0)))</f>
        <v/>
      </c>
      <c r="AC22" s="21" t="str">
        <f>IF(OR(Main!AC22="",Main!AC22=0),"",INDEX($E$46:$AB$47,2,MATCH(Main!AC22,$E$46:$AB$46,0)))</f>
        <v/>
      </c>
      <c r="AD22" s="21" t="str">
        <f>IF(OR(Main!AD22="",Main!AD22=0),"",INDEX($E$46:$AB$47,2,MATCH(Main!AD22,$E$46:$AB$46,0)))</f>
        <v/>
      </c>
      <c r="AE22" s="21" t="str">
        <f>IF(OR(Main!AE22="",Main!AE22=0),"",INDEX($E$46:$AB$47,2,MATCH(Main!AE22,$E$46:$AB$46,0)))</f>
        <v/>
      </c>
      <c r="AF22" s="21" t="str">
        <f>IF(OR(Main!AF22="",Main!AF22=0),"",INDEX($E$46:$AB$47,2,MATCH(Main!AF22,$E$46:$AB$46,0)))</f>
        <v/>
      </c>
      <c r="AG22" s="21" t="str">
        <f>IF(OR(Main!AG22="",Main!AG22=0),"",INDEX($E$46:$AB$47,2,MATCH(Main!AG22,$E$46:$AB$46,0)))</f>
        <v/>
      </c>
      <c r="AH22" s="21" t="str">
        <f>IF(OR(Main!AH22="",Main!AH22=0),"",INDEX($E$46:$AB$47,2,MATCH(Main!AH22,$E$46:$AB$46,0)))</f>
        <v/>
      </c>
      <c r="AI22" s="21" t="str">
        <f>IF(OR(Main!AI22="",Main!AI22=0),"",INDEX($E$46:$AB$47,2,MATCH(Main!AI22,$E$46:$AB$46,0)))</f>
        <v/>
      </c>
      <c r="AJ22" s="21"/>
      <c r="AK22" s="21"/>
      <c r="AL22" s="20"/>
      <c r="AM22" s="20"/>
      <c r="AN22" s="20"/>
      <c r="AO22" s="46"/>
      <c r="AP22" s="20">
        <f t="shared" si="0"/>
        <v>0</v>
      </c>
      <c r="AQ22" s="22"/>
      <c r="AR22" s="20"/>
      <c r="AS22" s="46"/>
      <c r="AT22" s="22">
        <f>IF(Main!AS22="","",$AJ$49)</f>
        <v>19</v>
      </c>
      <c r="AU22" s="20">
        <f>IF(Main!AS22="","",$AK$49)</f>
        <v>152</v>
      </c>
    </row>
    <row r="23" spans="1:47" ht="14.25" customHeight="1" x14ac:dyDescent="0.2">
      <c r="A23" s="23">
        <v>11</v>
      </c>
      <c r="B23" s="23">
        <v>21116</v>
      </c>
      <c r="C23" s="24" t="s">
        <v>73</v>
      </c>
      <c r="D23" s="24" t="s">
        <v>62</v>
      </c>
      <c r="E23" s="21" t="str">
        <f>IF(OR(Main!E23="",Main!E23=0),"",INDEX($E$46:$AB$47,2,MATCH(Main!E23,$E$46:$AB$46,0)))</f>
        <v/>
      </c>
      <c r="F23" s="21">
        <f>IF(OR(Main!F23="",Main!F23=0),"",INDEX($E$46:$AB$47,2,MATCH(Main!F23,$E$46:$AB$46,0)))</f>
        <v>0</v>
      </c>
      <c r="G23" s="21">
        <f>IF(OR(Main!G23="",Main!G23=0),"",INDEX($E$46:$AB$47,2,MATCH(Main!G23,$E$46:$AB$46,0)))</f>
        <v>0</v>
      </c>
      <c r="H23" s="21">
        <f>IF(OR(Main!H23="",Main!H23=0),"",INDEX($E$46:$AB$47,2,MATCH(Main!H23,$E$46:$AB$46,0)))</f>
        <v>0</v>
      </c>
      <c r="I23" s="21">
        <f>IF(OR(Main!I23="",Main!I23=0),"",INDEX($E$46:$AB$47,2,MATCH(Main!I23,$E$46:$AB$46,0)))</f>
        <v>0</v>
      </c>
      <c r="J23" s="21">
        <f>IF(OR(Main!J23="",Main!J23=0),"",INDEX($E$46:$AB$47,2,MATCH(Main!J23,$E$46:$AB$46,0)))</f>
        <v>0</v>
      </c>
      <c r="K23" s="21" t="str">
        <f>IF(OR(Main!K23="",Main!K23=0),"",INDEX($E$46:$AB$47,2,MATCH(Main!K23,$E$46:$AB$46,0)))</f>
        <v/>
      </c>
      <c r="L23" s="21" t="str">
        <f>IF(OR(Main!L23="",Main!L23=0),"",INDEX($E$46:$AB$47,2,MATCH(Main!L23,$E$46:$AB$46,0)))</f>
        <v/>
      </c>
      <c r="M23" s="21" t="str">
        <f>IF(OR(Main!M23="",Main!M23=0),"",INDEX($E$46:$AB$47,2,MATCH(Main!M23,$E$46:$AB$46,0)))</f>
        <v/>
      </c>
      <c r="N23" s="21" t="str">
        <f>IF(OR(Main!N23="",Main!N23=0),"",INDEX($E$46:$AB$47,2,MATCH(Main!N23,$E$46:$AB$46,0)))</f>
        <v/>
      </c>
      <c r="O23" s="21" t="str">
        <f>IF(OR(Main!O23="",Main!O23=0),"",INDEX($E$46:$AB$47,2,MATCH(Main!O23,$E$46:$AB$46,0)))</f>
        <v/>
      </c>
      <c r="P23" s="21" t="str">
        <f>IF(OR(Main!P23="",Main!P23=0),"",INDEX($E$46:$AB$47,2,MATCH(Main!P23,$E$46:$AB$46,0)))</f>
        <v/>
      </c>
      <c r="Q23" s="21" t="str">
        <f>IF(OR(Main!Q23="",Main!Q23=0),"",INDEX($E$46:$AB$47,2,MATCH(Main!Q23,$E$46:$AB$46,0)))</f>
        <v/>
      </c>
      <c r="R23" s="21" t="str">
        <f>IF(OR(Main!R23="",Main!R23=0),"",INDEX($E$46:$AB$47,2,MATCH(Main!R23,$E$46:$AB$46,0)))</f>
        <v/>
      </c>
      <c r="S23" s="21" t="str">
        <f>IF(OR(Main!S23="",Main!S23=0),"",INDEX($E$46:$AB$47,2,MATCH(Main!S23,$E$46:$AB$46,0)))</f>
        <v/>
      </c>
      <c r="T23" s="21" t="str">
        <f>IF(OR(Main!T23="",Main!T23=0),"",INDEX($E$46:$AB$47,2,MATCH(Main!T23,$E$46:$AB$46,0)))</f>
        <v/>
      </c>
      <c r="U23" s="21" t="str">
        <f>IF(OR(Main!U23="",Main!U23=0),"",INDEX($E$46:$AB$47,2,MATCH(Main!U23,$E$46:$AB$46,0)))</f>
        <v/>
      </c>
      <c r="V23" s="21" t="str">
        <f>IF(OR(Main!V23="",Main!V23=0),"",INDEX($E$46:$AB$47,2,MATCH(Main!V23,$E$46:$AB$46,0)))</f>
        <v/>
      </c>
      <c r="W23" s="21" t="str">
        <f>IF(OR(Main!W23="",Main!W23=0),"",INDEX($E$46:$AB$47,2,MATCH(Main!W23,$E$46:$AB$46,0)))</f>
        <v/>
      </c>
      <c r="X23" s="21" t="str">
        <f>IF(OR(Main!X23="",Main!X23=0),"",INDEX($E$46:$AB$47,2,MATCH(Main!X23,$E$46:$AB$46,0)))</f>
        <v/>
      </c>
      <c r="Y23" s="21" t="str">
        <f>IF(OR(Main!Y23="",Main!Y23=0),"",INDEX($E$46:$AB$47,2,MATCH(Main!Y23,$E$46:$AB$46,0)))</f>
        <v/>
      </c>
      <c r="Z23" s="21" t="str">
        <f>IF(OR(Main!Z23="",Main!Z23=0),"",INDEX($E$46:$AB$47,2,MATCH(Main!Z23,$E$46:$AB$46,0)))</f>
        <v/>
      </c>
      <c r="AA23" s="21" t="str">
        <f>IF(OR(Main!AA23="",Main!AA23=0),"",INDEX($E$46:$AB$47,2,MATCH(Main!AA23,$E$46:$AB$46,0)))</f>
        <v/>
      </c>
      <c r="AB23" s="21" t="str">
        <f>IF(OR(Main!AB23="",Main!AB23=0),"",INDEX($E$46:$AB$47,2,MATCH(Main!AB23,$E$46:$AB$46,0)))</f>
        <v/>
      </c>
      <c r="AC23" s="21" t="str">
        <f>IF(OR(Main!AC23="",Main!AC23=0),"",INDEX($E$46:$AB$47,2,MATCH(Main!AC23,$E$46:$AB$46,0)))</f>
        <v/>
      </c>
      <c r="AD23" s="21" t="str">
        <f>IF(OR(Main!AD23="",Main!AD23=0),"",INDEX($E$46:$AB$47,2,MATCH(Main!AD23,$E$46:$AB$46,0)))</f>
        <v/>
      </c>
      <c r="AE23" s="21" t="str">
        <f>IF(OR(Main!AE23="",Main!AE23=0),"",INDEX($E$46:$AB$47,2,MATCH(Main!AE23,$E$46:$AB$46,0)))</f>
        <v/>
      </c>
      <c r="AF23" s="21" t="str">
        <f>IF(OR(Main!AF23="",Main!AF23=0),"",INDEX($E$46:$AB$47,2,MATCH(Main!AF23,$E$46:$AB$46,0)))</f>
        <v/>
      </c>
      <c r="AG23" s="21" t="str">
        <f>IF(OR(Main!AG23="",Main!AG23=0),"",INDEX($E$46:$AB$47,2,MATCH(Main!AG23,$E$46:$AB$46,0)))</f>
        <v/>
      </c>
      <c r="AH23" s="21" t="str">
        <f>IF(OR(Main!AH23="",Main!AH23=0),"",INDEX($E$46:$AB$47,2,MATCH(Main!AH23,$E$46:$AB$46,0)))</f>
        <v/>
      </c>
      <c r="AI23" s="21" t="str">
        <f>IF(OR(Main!AI23="",Main!AI23=0),"",INDEX($E$46:$AB$47,2,MATCH(Main!AI23,$E$46:$AB$46,0)))</f>
        <v/>
      </c>
      <c r="AJ23" s="21"/>
      <c r="AK23" s="21"/>
      <c r="AL23" s="20"/>
      <c r="AM23" s="20"/>
      <c r="AN23" s="20"/>
      <c r="AO23" s="46"/>
      <c r="AP23" s="20">
        <f t="shared" si="0"/>
        <v>0</v>
      </c>
      <c r="AQ23" s="22"/>
      <c r="AR23" s="20"/>
      <c r="AS23" s="46"/>
      <c r="AT23" s="22">
        <f>IF(Main!AS23="","",$AJ$49)</f>
        <v>19</v>
      </c>
      <c r="AU23" s="20">
        <f>IF(Main!AS23="","",$AK$49)</f>
        <v>152</v>
      </c>
    </row>
    <row r="24" spans="1:47" ht="14.25" customHeight="1" x14ac:dyDescent="0.2">
      <c r="A24" s="23">
        <v>12</v>
      </c>
      <c r="B24" s="23">
        <v>66051</v>
      </c>
      <c r="C24" s="24" t="s">
        <v>74</v>
      </c>
      <c r="D24" s="24" t="s">
        <v>66</v>
      </c>
      <c r="E24" s="21" t="str">
        <f>IF(OR(Main!E24="",Main!E24=0),"",INDEX($E$46:$AB$47,2,MATCH(Main!E24,$E$46:$AB$46,0)))</f>
        <v/>
      </c>
      <c r="F24" s="21">
        <f>IF(OR(Main!F24="",Main!F24=0),"",INDEX($E$46:$AB$47,2,MATCH(Main!F24,$E$46:$AB$46,0)))</f>
        <v>0</v>
      </c>
      <c r="G24" s="21">
        <f>IF(OR(Main!G24="",Main!G24=0),"",INDEX($E$46:$AB$47,2,MATCH(Main!G24,$E$46:$AB$46,0)))</f>
        <v>0</v>
      </c>
      <c r="H24" s="21">
        <f>IF(OR(Main!H24="",Main!H24=0),"",INDEX($E$46:$AB$47,2,MATCH(Main!H24,$E$46:$AB$46,0)))</f>
        <v>0</v>
      </c>
      <c r="I24" s="21">
        <f>IF(OR(Main!I24="",Main!I24=0),"",INDEX($E$46:$AB$47,2,MATCH(Main!I24,$E$46:$AB$46,0)))</f>
        <v>0</v>
      </c>
      <c r="J24" s="21">
        <f>IF(OR(Main!J24="",Main!J24=0),"",INDEX($E$46:$AB$47,2,MATCH(Main!J24,$E$46:$AB$46,0)))</f>
        <v>0</v>
      </c>
      <c r="K24" s="21" t="str">
        <f>IF(OR(Main!K24="",Main!K24=0),"",INDEX($E$46:$AB$47,2,MATCH(Main!K24,$E$46:$AB$46,0)))</f>
        <v/>
      </c>
      <c r="L24" s="21" t="str">
        <f>IF(OR(Main!L24="",Main!L24=0),"",INDEX($E$46:$AB$47,2,MATCH(Main!L24,$E$46:$AB$46,0)))</f>
        <v/>
      </c>
      <c r="M24" s="21" t="str">
        <f>IF(OR(Main!M24="",Main!M24=0),"",INDEX($E$46:$AB$47,2,MATCH(Main!M24,$E$46:$AB$46,0)))</f>
        <v/>
      </c>
      <c r="N24" s="21" t="str">
        <f>IF(OR(Main!N24="",Main!N24=0),"",INDEX($E$46:$AB$47,2,MATCH(Main!N24,$E$46:$AB$46,0)))</f>
        <v/>
      </c>
      <c r="O24" s="21" t="str">
        <f>IF(OR(Main!O24="",Main!O24=0),"",INDEX($E$46:$AB$47,2,MATCH(Main!O24,$E$46:$AB$46,0)))</f>
        <v/>
      </c>
      <c r="P24" s="21" t="str">
        <f>IF(OR(Main!P24="",Main!P24=0),"",INDEX($E$46:$AB$47,2,MATCH(Main!P24,$E$46:$AB$46,0)))</f>
        <v/>
      </c>
      <c r="Q24" s="21" t="str">
        <f>IF(OR(Main!Q24="",Main!Q24=0),"",INDEX($E$46:$AB$47,2,MATCH(Main!Q24,$E$46:$AB$46,0)))</f>
        <v/>
      </c>
      <c r="R24" s="21" t="str">
        <f>IF(OR(Main!R24="",Main!R24=0),"",INDEX($E$46:$AB$47,2,MATCH(Main!R24,$E$46:$AB$46,0)))</f>
        <v/>
      </c>
      <c r="S24" s="21" t="str">
        <f>IF(OR(Main!S24="",Main!S24=0),"",INDEX($E$46:$AB$47,2,MATCH(Main!S24,$E$46:$AB$46,0)))</f>
        <v/>
      </c>
      <c r="T24" s="21" t="str">
        <f>IF(OR(Main!T24="",Main!T24=0),"",INDEX($E$46:$AB$47,2,MATCH(Main!T24,$E$46:$AB$46,0)))</f>
        <v/>
      </c>
      <c r="U24" s="21" t="str">
        <f>IF(OR(Main!U24="",Main!U24=0),"",INDEX($E$46:$AB$47,2,MATCH(Main!U24,$E$46:$AB$46,0)))</f>
        <v/>
      </c>
      <c r="V24" s="21" t="str">
        <f>IF(OR(Main!V24="",Main!V24=0),"",INDEX($E$46:$AB$47,2,MATCH(Main!V24,$E$46:$AB$46,0)))</f>
        <v/>
      </c>
      <c r="W24" s="21" t="str">
        <f>IF(OR(Main!W24="",Main!W24=0),"",INDEX($E$46:$AB$47,2,MATCH(Main!W24,$E$46:$AB$46,0)))</f>
        <v/>
      </c>
      <c r="X24" s="21" t="str">
        <f>IF(OR(Main!X24="",Main!X24=0),"",INDEX($E$46:$AB$47,2,MATCH(Main!X24,$E$46:$AB$46,0)))</f>
        <v/>
      </c>
      <c r="Y24" s="21" t="str">
        <f>IF(OR(Main!Y24="",Main!Y24=0),"",INDEX($E$46:$AB$47,2,MATCH(Main!Y24,$E$46:$AB$46,0)))</f>
        <v/>
      </c>
      <c r="Z24" s="21" t="str">
        <f>IF(OR(Main!Z24="",Main!Z24=0),"",INDEX($E$46:$AB$47,2,MATCH(Main!Z24,$E$46:$AB$46,0)))</f>
        <v/>
      </c>
      <c r="AA24" s="21" t="str">
        <f>IF(OR(Main!AA24="",Main!AA24=0),"",INDEX($E$46:$AB$47,2,MATCH(Main!AA24,$E$46:$AB$46,0)))</f>
        <v/>
      </c>
      <c r="AB24" s="21" t="str">
        <f>IF(OR(Main!AB24="",Main!AB24=0),"",INDEX($E$46:$AB$47,2,MATCH(Main!AB24,$E$46:$AB$46,0)))</f>
        <v/>
      </c>
      <c r="AC24" s="21" t="str">
        <f>IF(OR(Main!AC24="",Main!AC24=0),"",INDEX($E$46:$AB$47,2,MATCH(Main!AC24,$E$46:$AB$46,0)))</f>
        <v/>
      </c>
      <c r="AD24" s="21" t="str">
        <f>IF(OR(Main!AD24="",Main!AD24=0),"",INDEX($E$46:$AB$47,2,MATCH(Main!AD24,$E$46:$AB$46,0)))</f>
        <v/>
      </c>
      <c r="AE24" s="21" t="str">
        <f>IF(OR(Main!AE24="",Main!AE24=0),"",INDEX($E$46:$AB$47,2,MATCH(Main!AE24,$E$46:$AB$46,0)))</f>
        <v/>
      </c>
      <c r="AF24" s="21" t="str">
        <f>IF(OR(Main!AF24="",Main!AF24=0),"",INDEX($E$46:$AB$47,2,MATCH(Main!AF24,$E$46:$AB$46,0)))</f>
        <v/>
      </c>
      <c r="AG24" s="21" t="str">
        <f>IF(OR(Main!AG24="",Main!AG24=0),"",INDEX($E$46:$AB$47,2,MATCH(Main!AG24,$E$46:$AB$46,0)))</f>
        <v/>
      </c>
      <c r="AH24" s="21" t="str">
        <f>IF(OR(Main!AH24="",Main!AH24=0),"",INDEX($E$46:$AB$47,2,MATCH(Main!AH24,$E$46:$AB$46,0)))</f>
        <v/>
      </c>
      <c r="AI24" s="21" t="str">
        <f>IF(OR(Main!AI24="",Main!AI24=0),"",INDEX($E$46:$AB$47,2,MATCH(Main!AI24,$E$46:$AB$46,0)))</f>
        <v/>
      </c>
      <c r="AJ24" s="21"/>
      <c r="AK24" s="21"/>
      <c r="AL24" s="20"/>
      <c r="AM24" s="20"/>
      <c r="AN24" s="20"/>
      <c r="AO24" s="46"/>
      <c r="AP24" s="20">
        <f t="shared" si="0"/>
        <v>0</v>
      </c>
      <c r="AQ24" s="22"/>
      <c r="AR24" s="20"/>
      <c r="AS24" s="46"/>
      <c r="AT24" s="22">
        <f>IF(Main!AS24="","",$AJ$49)</f>
        <v>19</v>
      </c>
      <c r="AU24" s="20">
        <f>IF(Main!AS24="","",$AK$49)</f>
        <v>152</v>
      </c>
    </row>
    <row r="25" spans="1:47" ht="14.25" customHeight="1" x14ac:dyDescent="0.2">
      <c r="A25" s="23">
        <v>13</v>
      </c>
      <c r="B25" s="23">
        <v>16265</v>
      </c>
      <c r="C25" s="24" t="s">
        <v>75</v>
      </c>
      <c r="D25" s="25" t="s">
        <v>62</v>
      </c>
      <c r="E25" s="21" t="str">
        <f>IF(OR(Main!E25="",Main!E25=0),"",INDEX($E$46:$AB$47,2,MATCH(Main!E25,$E$46:$AB$46,0)))</f>
        <v/>
      </c>
      <c r="F25" s="21">
        <f>IF(OR(Main!F25="",Main!F25=0),"",INDEX($E$46:$AB$47,2,MATCH(Main!F25,$E$46:$AB$46,0)))</f>
        <v>0</v>
      </c>
      <c r="G25" s="21">
        <f>IF(OR(Main!G25="",Main!G25=0),"",INDEX($E$46:$AB$47,2,MATCH(Main!G25,$E$46:$AB$46,0)))</f>
        <v>0</v>
      </c>
      <c r="H25" s="21">
        <f>IF(OR(Main!H25="",Main!H25=0),"",INDEX($E$46:$AB$47,2,MATCH(Main!H25,$E$46:$AB$46,0)))</f>
        <v>0</v>
      </c>
      <c r="I25" s="21">
        <f>IF(OR(Main!I25="",Main!I25=0),"",INDEX($E$46:$AB$47,2,MATCH(Main!I25,$E$46:$AB$46,0)))</f>
        <v>0</v>
      </c>
      <c r="J25" s="21">
        <f>IF(OR(Main!J25="",Main!J25=0),"",INDEX($E$46:$AB$47,2,MATCH(Main!J25,$E$46:$AB$46,0)))</f>
        <v>0</v>
      </c>
      <c r="K25" s="21" t="str">
        <f>IF(OR(Main!K25="",Main!K25=0),"",INDEX($E$46:$AB$47,2,MATCH(Main!K25,$E$46:$AB$46,0)))</f>
        <v/>
      </c>
      <c r="L25" s="21" t="str">
        <f>IF(OR(Main!L25="",Main!L25=0),"",INDEX($E$46:$AB$47,2,MATCH(Main!L25,$E$46:$AB$46,0)))</f>
        <v/>
      </c>
      <c r="M25" s="21" t="str">
        <f>IF(OR(Main!M25="",Main!M25=0),"",INDEX($E$46:$AB$47,2,MATCH(Main!M25,$E$46:$AB$46,0)))</f>
        <v/>
      </c>
      <c r="N25" s="21" t="str">
        <f>IF(OR(Main!N25="",Main!N25=0),"",INDEX($E$46:$AB$47,2,MATCH(Main!N25,$E$46:$AB$46,0)))</f>
        <v/>
      </c>
      <c r="O25" s="21" t="str">
        <f>IF(OR(Main!O25="",Main!O25=0),"",INDEX($E$46:$AB$47,2,MATCH(Main!O25,$E$46:$AB$46,0)))</f>
        <v/>
      </c>
      <c r="P25" s="21" t="str">
        <f>IF(OR(Main!P25="",Main!P25=0),"",INDEX($E$46:$AB$47,2,MATCH(Main!P25,$E$46:$AB$46,0)))</f>
        <v/>
      </c>
      <c r="Q25" s="21" t="str">
        <f>IF(OR(Main!Q25="",Main!Q25=0),"",INDEX($E$46:$AB$47,2,MATCH(Main!Q25,$E$46:$AB$46,0)))</f>
        <v/>
      </c>
      <c r="R25" s="21" t="str">
        <f>IF(OR(Main!R25="",Main!R25=0),"",INDEX($E$46:$AB$47,2,MATCH(Main!R25,$E$46:$AB$46,0)))</f>
        <v/>
      </c>
      <c r="S25" s="21" t="str">
        <f>IF(OR(Main!S25="",Main!S25=0),"",INDEX($E$46:$AB$47,2,MATCH(Main!S25,$E$46:$AB$46,0)))</f>
        <v/>
      </c>
      <c r="T25" s="21" t="str">
        <f>IF(OR(Main!T25="",Main!T25=0),"",INDEX($E$46:$AB$47,2,MATCH(Main!T25,$E$46:$AB$46,0)))</f>
        <v/>
      </c>
      <c r="U25" s="21" t="str">
        <f>IF(OR(Main!U25="",Main!U25=0),"",INDEX($E$46:$AB$47,2,MATCH(Main!U25,$E$46:$AB$46,0)))</f>
        <v/>
      </c>
      <c r="V25" s="21" t="str">
        <f>IF(OR(Main!V25="",Main!V25=0),"",INDEX($E$46:$AB$47,2,MATCH(Main!V25,$E$46:$AB$46,0)))</f>
        <v/>
      </c>
      <c r="W25" s="21" t="str">
        <f>IF(OR(Main!W25="",Main!W25=0),"",INDEX($E$46:$AB$47,2,MATCH(Main!W25,$E$46:$AB$46,0)))</f>
        <v/>
      </c>
      <c r="X25" s="21" t="str">
        <f>IF(OR(Main!X25="",Main!X25=0),"",INDEX($E$46:$AB$47,2,MATCH(Main!X25,$E$46:$AB$46,0)))</f>
        <v/>
      </c>
      <c r="Y25" s="21" t="str">
        <f>IF(OR(Main!Y25="",Main!Y25=0),"",INDEX($E$46:$AB$47,2,MATCH(Main!Y25,$E$46:$AB$46,0)))</f>
        <v/>
      </c>
      <c r="Z25" s="21" t="str">
        <f>IF(OR(Main!Z25="",Main!Z25=0),"",INDEX($E$46:$AB$47,2,MATCH(Main!Z25,$E$46:$AB$46,0)))</f>
        <v/>
      </c>
      <c r="AA25" s="21" t="str">
        <f>IF(OR(Main!AA25="",Main!AA25=0),"",INDEX($E$46:$AB$47,2,MATCH(Main!AA25,$E$46:$AB$46,0)))</f>
        <v/>
      </c>
      <c r="AB25" s="21" t="str">
        <f>IF(OR(Main!AB25="",Main!AB25=0),"",INDEX($E$46:$AB$47,2,MATCH(Main!AB25,$E$46:$AB$46,0)))</f>
        <v/>
      </c>
      <c r="AC25" s="21" t="str">
        <f>IF(OR(Main!AC25="",Main!AC25=0),"",INDEX($E$46:$AB$47,2,MATCH(Main!AC25,$E$46:$AB$46,0)))</f>
        <v/>
      </c>
      <c r="AD25" s="21" t="str">
        <f>IF(OR(Main!AD25="",Main!AD25=0),"",INDEX($E$46:$AB$47,2,MATCH(Main!AD25,$E$46:$AB$46,0)))</f>
        <v/>
      </c>
      <c r="AE25" s="21" t="str">
        <f>IF(OR(Main!AE25="",Main!AE25=0),"",INDEX($E$46:$AB$47,2,MATCH(Main!AE25,$E$46:$AB$46,0)))</f>
        <v/>
      </c>
      <c r="AF25" s="21" t="str">
        <f>IF(OR(Main!AF25="",Main!AF25=0),"",INDEX($E$46:$AB$47,2,MATCH(Main!AF25,$E$46:$AB$46,0)))</f>
        <v/>
      </c>
      <c r="AG25" s="21" t="str">
        <f>IF(OR(Main!AG25="",Main!AG25=0),"",INDEX($E$46:$AB$47,2,MATCH(Main!AG25,$E$46:$AB$46,0)))</f>
        <v/>
      </c>
      <c r="AH25" s="21" t="str">
        <f>IF(OR(Main!AH25="",Main!AH25=0),"",INDEX($E$46:$AB$47,2,MATCH(Main!AH25,$E$46:$AB$46,0)))</f>
        <v/>
      </c>
      <c r="AI25" s="21" t="str">
        <f>IF(OR(Main!AI25="",Main!AI25=0),"",INDEX($E$46:$AB$47,2,MATCH(Main!AI25,$E$46:$AB$46,0)))</f>
        <v/>
      </c>
      <c r="AJ25" s="21"/>
      <c r="AK25" s="21"/>
      <c r="AL25" s="20"/>
      <c r="AM25" s="20"/>
      <c r="AN25" s="20"/>
      <c r="AO25" s="46"/>
      <c r="AP25" s="20">
        <f t="shared" si="0"/>
        <v>0</v>
      </c>
      <c r="AQ25" s="22"/>
      <c r="AR25" s="20"/>
      <c r="AS25" s="46"/>
      <c r="AT25" s="22">
        <f>IF(Main!AS25="","",$AJ$49)</f>
        <v>19</v>
      </c>
      <c r="AU25" s="20">
        <f>IF(Main!AS25="","",$AK$49)</f>
        <v>152</v>
      </c>
    </row>
    <row r="26" spans="1:47" ht="14.25" customHeight="1" x14ac:dyDescent="0.2">
      <c r="A26" s="23">
        <v>14</v>
      </c>
      <c r="B26" s="23">
        <v>83322</v>
      </c>
      <c r="C26" s="24" t="s">
        <v>76</v>
      </c>
      <c r="D26" s="24" t="s">
        <v>66</v>
      </c>
      <c r="E26" s="21" t="str">
        <f>IF(OR(Main!E26="",Main!E26=0),"",INDEX($E$46:$AB$47,2,MATCH(Main!E26,$E$46:$AB$46,0)))</f>
        <v/>
      </c>
      <c r="F26" s="21">
        <f>IF(OR(Main!F26="",Main!F26=0),"",INDEX($E$46:$AB$47,2,MATCH(Main!F26,$E$46:$AB$46,0)))</f>
        <v>0</v>
      </c>
      <c r="G26" s="21">
        <f>IF(OR(Main!G26="",Main!G26=0),"",INDEX($E$46:$AB$47,2,MATCH(Main!G26,$E$46:$AB$46,0)))</f>
        <v>0</v>
      </c>
      <c r="H26" s="21">
        <f>IF(OR(Main!H26="",Main!H26=0),"",INDEX($E$46:$AB$47,2,MATCH(Main!H26,$E$46:$AB$46,0)))</f>
        <v>0</v>
      </c>
      <c r="I26" s="21">
        <f>IF(OR(Main!I26="",Main!I26=0),"",INDEX($E$46:$AB$47,2,MATCH(Main!I26,$E$46:$AB$46,0)))</f>
        <v>0</v>
      </c>
      <c r="J26" s="21">
        <f>IF(OR(Main!J26="",Main!J26=0),"",INDEX($E$46:$AB$47,2,MATCH(Main!J26,$E$46:$AB$46,0)))</f>
        <v>0</v>
      </c>
      <c r="K26" s="21">
        <f>IF(OR(Main!K26="",Main!K26=0),"",INDEX($E$46:$AB$47,2,MATCH(Main!K26,$E$46:$AB$46,0)))</f>
        <v>0</v>
      </c>
      <c r="L26" s="21">
        <f>IF(OR(Main!L26="",Main!L26=0),"",INDEX($E$46:$AB$47,2,MATCH(Main!L26,$E$46:$AB$46,0)))</f>
        <v>0</v>
      </c>
      <c r="M26" s="21" t="str">
        <f>IF(OR(Main!M26="",Main!M26=0),"",INDEX($E$46:$AB$47,2,MATCH(Main!M26,$E$46:$AB$46,0)))</f>
        <v/>
      </c>
      <c r="N26" s="21" t="str">
        <f>IF(OR(Main!N26="",Main!N26=0),"",INDEX($E$46:$AB$47,2,MATCH(Main!N26,$E$46:$AB$46,0)))</f>
        <v/>
      </c>
      <c r="O26" s="21" t="str">
        <f>IF(OR(Main!O26="",Main!O26=0),"",INDEX($E$46:$AB$47,2,MATCH(Main!O26,$E$46:$AB$46,0)))</f>
        <v/>
      </c>
      <c r="P26" s="21" t="str">
        <f>IF(OR(Main!P26="",Main!P26=0),"",INDEX($E$46:$AB$47,2,MATCH(Main!P26,$E$46:$AB$46,0)))</f>
        <v/>
      </c>
      <c r="Q26" s="21" t="str">
        <f>IF(OR(Main!Q26="",Main!Q26=0),"",INDEX($E$46:$AB$47,2,MATCH(Main!Q26,$E$46:$AB$46,0)))</f>
        <v/>
      </c>
      <c r="R26" s="21" t="str">
        <f>IF(OR(Main!R26="",Main!R26=0),"",INDEX($E$46:$AB$47,2,MATCH(Main!R26,$E$46:$AB$46,0)))</f>
        <v/>
      </c>
      <c r="S26" s="21" t="str">
        <f>IF(OR(Main!S26="",Main!S26=0),"",INDEX($E$46:$AB$47,2,MATCH(Main!S26,$E$46:$AB$46,0)))</f>
        <v/>
      </c>
      <c r="T26" s="21" t="str">
        <f>IF(OR(Main!T26="",Main!T26=0),"",INDEX($E$46:$AB$47,2,MATCH(Main!T26,$E$46:$AB$46,0)))</f>
        <v/>
      </c>
      <c r="U26" s="21" t="str">
        <f>IF(OR(Main!U26="",Main!U26=0),"",INDEX($E$46:$AB$47,2,MATCH(Main!U26,$E$46:$AB$46,0)))</f>
        <v/>
      </c>
      <c r="V26" s="21" t="str">
        <f>IF(OR(Main!V26="",Main!V26=0),"",INDEX($E$46:$AB$47,2,MATCH(Main!V26,$E$46:$AB$46,0)))</f>
        <v/>
      </c>
      <c r="W26" s="21" t="str">
        <f>IF(OR(Main!W26="",Main!W26=0),"",INDEX($E$46:$AB$47,2,MATCH(Main!W26,$E$46:$AB$46,0)))</f>
        <v/>
      </c>
      <c r="X26" s="21" t="str">
        <f>IF(OR(Main!X26="",Main!X26=0),"",INDEX($E$46:$AB$47,2,MATCH(Main!X26,$E$46:$AB$46,0)))</f>
        <v/>
      </c>
      <c r="Y26" s="21" t="str">
        <f>IF(OR(Main!Y26="",Main!Y26=0),"",INDEX($E$46:$AB$47,2,MATCH(Main!Y26,$E$46:$AB$46,0)))</f>
        <v/>
      </c>
      <c r="Z26" s="21" t="str">
        <f>IF(OR(Main!Z26="",Main!Z26=0),"",INDEX($E$46:$AB$47,2,MATCH(Main!Z26,$E$46:$AB$46,0)))</f>
        <v/>
      </c>
      <c r="AA26" s="21" t="str">
        <f>IF(OR(Main!AA26="",Main!AA26=0),"",INDEX($E$46:$AB$47,2,MATCH(Main!AA26,$E$46:$AB$46,0)))</f>
        <v/>
      </c>
      <c r="AB26" s="21" t="str">
        <f>IF(OR(Main!AB26="",Main!AB26=0),"",INDEX($E$46:$AB$47,2,MATCH(Main!AB26,$E$46:$AB$46,0)))</f>
        <v/>
      </c>
      <c r="AC26" s="21" t="str">
        <f>IF(OR(Main!AC26="",Main!AC26=0),"",INDEX($E$46:$AB$47,2,MATCH(Main!AC26,$E$46:$AB$46,0)))</f>
        <v/>
      </c>
      <c r="AD26" s="21" t="str">
        <f>IF(OR(Main!AD26="",Main!AD26=0),"",INDEX($E$46:$AB$47,2,MATCH(Main!AD26,$E$46:$AB$46,0)))</f>
        <v/>
      </c>
      <c r="AE26" s="21" t="str">
        <f>IF(OR(Main!AE26="",Main!AE26=0),"",INDEX($E$46:$AB$47,2,MATCH(Main!AE26,$E$46:$AB$46,0)))</f>
        <v/>
      </c>
      <c r="AF26" s="21" t="str">
        <f>IF(OR(Main!AF26="",Main!AF26=0),"",INDEX($E$46:$AB$47,2,MATCH(Main!AF26,$E$46:$AB$46,0)))</f>
        <v/>
      </c>
      <c r="AG26" s="21" t="str">
        <f>IF(OR(Main!AG26="",Main!AG26=0),"",INDEX($E$46:$AB$47,2,MATCH(Main!AG26,$E$46:$AB$46,0)))</f>
        <v/>
      </c>
      <c r="AH26" s="21" t="str">
        <f>IF(OR(Main!AH26="",Main!AH26=0),"",INDEX($E$46:$AB$47,2,MATCH(Main!AH26,$E$46:$AB$46,0)))</f>
        <v/>
      </c>
      <c r="AI26" s="21" t="str">
        <f>IF(OR(Main!AI26="",Main!AI26=0),"",INDEX($E$46:$AB$47,2,MATCH(Main!AI26,$E$46:$AB$46,0)))</f>
        <v/>
      </c>
      <c r="AJ26" s="21"/>
      <c r="AK26" s="21"/>
      <c r="AL26" s="20"/>
      <c r="AM26" s="20"/>
      <c r="AN26" s="20"/>
      <c r="AO26" s="46"/>
      <c r="AP26" s="20">
        <f t="shared" si="0"/>
        <v>0</v>
      </c>
      <c r="AQ26" s="22"/>
      <c r="AR26" s="20"/>
      <c r="AS26" s="46"/>
      <c r="AT26" s="22">
        <f>IF(Main!AS26="","",$AJ$49)</f>
        <v>19</v>
      </c>
      <c r="AU26" s="20">
        <f>IF(Main!AS26="","",$AK$49)</f>
        <v>152</v>
      </c>
    </row>
    <row r="27" spans="1:47" ht="14.25" customHeight="1" x14ac:dyDescent="0.2">
      <c r="A27" s="23">
        <v>15</v>
      </c>
      <c r="B27" s="23">
        <v>63189</v>
      </c>
      <c r="C27" s="24" t="s">
        <v>77</v>
      </c>
      <c r="D27" s="24" t="s">
        <v>78</v>
      </c>
      <c r="E27" s="21" t="str">
        <f>IF(OR(Main!E27="",Main!E27=0),"",INDEX($E$46:$AB$47,2,MATCH(Main!E27,$E$46:$AB$46,0)))</f>
        <v/>
      </c>
      <c r="F27" s="21">
        <f>IF(OR(Main!F27="",Main!F27=0),"",INDEX($E$46:$AB$47,2,MATCH(Main!F27,$E$46:$AB$46,0)))</f>
        <v>0</v>
      </c>
      <c r="G27" s="21">
        <f>IF(OR(Main!G27="",Main!G27=0),"",INDEX($E$46:$AB$47,2,MATCH(Main!G27,$E$46:$AB$46,0)))</f>
        <v>0</v>
      </c>
      <c r="H27" s="21">
        <f>IF(OR(Main!H27="",Main!H27=0),"",INDEX($E$46:$AB$47,2,MATCH(Main!H27,$E$46:$AB$46,0)))</f>
        <v>0</v>
      </c>
      <c r="I27" s="21">
        <f>IF(OR(Main!I27="",Main!I27=0),"",INDEX($E$46:$AB$47,2,MATCH(Main!I27,$E$46:$AB$46,0)))</f>
        <v>0</v>
      </c>
      <c r="J27" s="21">
        <f>IF(OR(Main!J27="",Main!J27=0),"",INDEX($E$46:$AB$47,2,MATCH(Main!J27,$E$46:$AB$46,0)))</f>
        <v>0</v>
      </c>
      <c r="K27" s="21" t="str">
        <f>IF(OR(Main!K27="",Main!K27=0),"",INDEX($E$46:$AB$47,2,MATCH(Main!K27,$E$46:$AB$46,0)))</f>
        <v/>
      </c>
      <c r="L27" s="21" t="str">
        <f>IF(OR(Main!L27="",Main!L27=0),"",INDEX($E$46:$AB$47,2,MATCH(Main!L27,$E$46:$AB$46,0)))</f>
        <v/>
      </c>
      <c r="M27" s="21" t="str">
        <f>IF(OR(Main!M27="",Main!M27=0),"",INDEX($E$46:$AB$47,2,MATCH(Main!M27,$E$46:$AB$46,0)))</f>
        <v/>
      </c>
      <c r="N27" s="21" t="str">
        <f>IF(OR(Main!N27="",Main!N27=0),"",INDEX($E$46:$AB$47,2,MATCH(Main!N27,$E$46:$AB$46,0)))</f>
        <v/>
      </c>
      <c r="O27" s="21" t="str">
        <f>IF(OR(Main!O27="",Main!O27=0),"",INDEX($E$46:$AB$47,2,MATCH(Main!O27,$E$46:$AB$46,0)))</f>
        <v/>
      </c>
      <c r="P27" s="21" t="str">
        <f>IF(OR(Main!P27="",Main!P27=0),"",INDEX($E$46:$AB$47,2,MATCH(Main!P27,$E$46:$AB$46,0)))</f>
        <v/>
      </c>
      <c r="Q27" s="21" t="str">
        <f>IF(OR(Main!Q27="",Main!Q27=0),"",INDEX($E$46:$AB$47,2,MATCH(Main!Q27,$E$46:$AB$46,0)))</f>
        <v/>
      </c>
      <c r="R27" s="21" t="str">
        <f>IF(OR(Main!R27="",Main!R27=0),"",INDEX($E$46:$AB$47,2,MATCH(Main!R27,$E$46:$AB$46,0)))</f>
        <v/>
      </c>
      <c r="S27" s="21" t="str">
        <f>IF(OR(Main!S27="",Main!S27=0),"",INDEX($E$46:$AB$47,2,MATCH(Main!S27,$E$46:$AB$46,0)))</f>
        <v/>
      </c>
      <c r="T27" s="21" t="str">
        <f>IF(OR(Main!T27="",Main!T27=0),"",INDEX($E$46:$AB$47,2,MATCH(Main!T27,$E$46:$AB$46,0)))</f>
        <v/>
      </c>
      <c r="U27" s="21" t="str">
        <f>IF(OR(Main!U27="",Main!U27=0),"",INDEX($E$46:$AB$47,2,MATCH(Main!U27,$E$46:$AB$46,0)))</f>
        <v/>
      </c>
      <c r="V27" s="21" t="str">
        <f>IF(OR(Main!V27="",Main!V27=0),"",INDEX($E$46:$AB$47,2,MATCH(Main!V27,$E$46:$AB$46,0)))</f>
        <v/>
      </c>
      <c r="W27" s="21" t="str">
        <f>IF(OR(Main!W27="",Main!W27=0),"",INDEX($E$46:$AB$47,2,MATCH(Main!W27,$E$46:$AB$46,0)))</f>
        <v/>
      </c>
      <c r="X27" s="21" t="str">
        <f>IF(OR(Main!X27="",Main!X27=0),"",INDEX($E$46:$AB$47,2,MATCH(Main!X27,$E$46:$AB$46,0)))</f>
        <v/>
      </c>
      <c r="Y27" s="21" t="str">
        <f>IF(OR(Main!Y27="",Main!Y27=0),"",INDEX($E$46:$AB$47,2,MATCH(Main!Y27,$E$46:$AB$46,0)))</f>
        <v/>
      </c>
      <c r="Z27" s="21" t="str">
        <f>IF(OR(Main!Z27="",Main!Z27=0),"",INDEX($E$46:$AB$47,2,MATCH(Main!Z27,$E$46:$AB$46,0)))</f>
        <v/>
      </c>
      <c r="AA27" s="21" t="str">
        <f>IF(OR(Main!AA27="",Main!AA27=0),"",INDEX($E$46:$AB$47,2,MATCH(Main!AA27,$E$46:$AB$46,0)))</f>
        <v/>
      </c>
      <c r="AB27" s="21" t="str">
        <f>IF(OR(Main!AB27="",Main!AB27=0),"",INDEX($E$46:$AB$47,2,MATCH(Main!AB27,$E$46:$AB$46,0)))</f>
        <v/>
      </c>
      <c r="AC27" s="21" t="str">
        <f>IF(OR(Main!AC27="",Main!AC27=0),"",INDEX($E$46:$AB$47,2,MATCH(Main!AC27,$E$46:$AB$46,0)))</f>
        <v/>
      </c>
      <c r="AD27" s="21" t="str">
        <f>IF(OR(Main!AD27="",Main!AD27=0),"",INDEX($E$46:$AB$47,2,MATCH(Main!AD27,$E$46:$AB$46,0)))</f>
        <v/>
      </c>
      <c r="AE27" s="21" t="str">
        <f>IF(OR(Main!AE27="",Main!AE27=0),"",INDEX($E$46:$AB$47,2,MATCH(Main!AE27,$E$46:$AB$46,0)))</f>
        <v/>
      </c>
      <c r="AF27" s="21" t="str">
        <f>IF(OR(Main!AF27="",Main!AF27=0),"",INDEX($E$46:$AB$47,2,MATCH(Main!AF27,$E$46:$AB$46,0)))</f>
        <v/>
      </c>
      <c r="AG27" s="21" t="str">
        <f>IF(OR(Main!AG27="",Main!AG27=0),"",INDEX($E$46:$AB$47,2,MATCH(Main!AG27,$E$46:$AB$46,0)))</f>
        <v/>
      </c>
      <c r="AH27" s="21" t="str">
        <f>IF(OR(Main!AH27="",Main!AH27=0),"",INDEX($E$46:$AB$47,2,MATCH(Main!AH27,$E$46:$AB$46,0)))</f>
        <v/>
      </c>
      <c r="AI27" s="21" t="str">
        <f>IF(OR(Main!AI27="",Main!AI27=0),"",INDEX($E$46:$AB$47,2,MATCH(Main!AI27,$E$46:$AB$46,0)))</f>
        <v/>
      </c>
      <c r="AJ27" s="21"/>
      <c r="AK27" s="21"/>
      <c r="AL27" s="20"/>
      <c r="AM27" s="20"/>
      <c r="AN27" s="20"/>
      <c r="AO27" s="46"/>
      <c r="AP27" s="20">
        <f t="shared" si="0"/>
        <v>0</v>
      </c>
      <c r="AQ27" s="22"/>
      <c r="AR27" s="20"/>
      <c r="AS27" s="46"/>
      <c r="AT27" s="22">
        <f>IF(Main!AS27="","",$AJ$49)</f>
        <v>19</v>
      </c>
      <c r="AU27" s="20">
        <f>IF(Main!AS27="","",$AK$49)</f>
        <v>152</v>
      </c>
    </row>
    <row r="28" spans="1:47" ht="14.25" customHeight="1" x14ac:dyDescent="0.2">
      <c r="A28" s="23">
        <v>16</v>
      </c>
      <c r="B28" s="23">
        <v>12368</v>
      </c>
      <c r="C28" s="24" t="s">
        <v>79</v>
      </c>
      <c r="D28" s="24" t="s">
        <v>80</v>
      </c>
      <c r="E28" s="21" t="str">
        <f>IF(OR(Main!E28="",Main!E28=0),"",INDEX($E$46:$AB$47,2,MATCH(Main!E28,$E$46:$AB$46,0)))</f>
        <v/>
      </c>
      <c r="F28" s="21">
        <f>IF(OR(Main!F28="",Main!F28=0),"",INDEX($E$46:$AB$47,2,MATCH(Main!F28,$E$46:$AB$46,0)))</f>
        <v>0</v>
      </c>
      <c r="G28" s="21">
        <f>IF(OR(Main!G28="",Main!G28=0),"",INDEX($E$46:$AB$47,2,MATCH(Main!G28,$E$46:$AB$46,0)))</f>
        <v>0</v>
      </c>
      <c r="H28" s="21">
        <f>IF(OR(Main!H28="",Main!H28=0),"",INDEX($E$46:$AB$47,2,MATCH(Main!H28,$E$46:$AB$46,0)))</f>
        <v>0</v>
      </c>
      <c r="I28" s="21">
        <f>IF(OR(Main!I28="",Main!I28=0),"",INDEX($E$46:$AB$47,2,MATCH(Main!I28,$E$46:$AB$46,0)))</f>
        <v>0</v>
      </c>
      <c r="J28" s="21">
        <f>IF(OR(Main!J28="",Main!J28=0),"",INDEX($E$46:$AB$47,2,MATCH(Main!J28,$E$46:$AB$46,0)))</f>
        <v>0</v>
      </c>
      <c r="K28" s="21" t="str">
        <f>IF(OR(Main!K28="",Main!K28=0),"",INDEX($E$46:$AB$47,2,MATCH(Main!K28,$E$46:$AB$46,0)))</f>
        <v/>
      </c>
      <c r="L28" s="21" t="str">
        <f>IF(OR(Main!L28="",Main!L28=0),"",INDEX($E$46:$AB$47,2,MATCH(Main!L28,$E$46:$AB$46,0)))</f>
        <v/>
      </c>
      <c r="M28" s="21" t="str">
        <f>IF(OR(Main!M28="",Main!M28=0),"",INDEX($E$46:$AB$47,2,MATCH(Main!M28,$E$46:$AB$46,0)))</f>
        <v/>
      </c>
      <c r="N28" s="21" t="str">
        <f>IF(OR(Main!N28="",Main!N28=0),"",INDEX($E$46:$AB$47,2,MATCH(Main!N28,$E$46:$AB$46,0)))</f>
        <v/>
      </c>
      <c r="O28" s="21" t="str">
        <f>IF(OR(Main!O28="",Main!O28=0),"",INDEX($E$46:$AB$47,2,MATCH(Main!O28,$E$46:$AB$46,0)))</f>
        <v/>
      </c>
      <c r="P28" s="21" t="str">
        <f>IF(OR(Main!P28="",Main!P28=0),"",INDEX($E$46:$AB$47,2,MATCH(Main!P28,$E$46:$AB$46,0)))</f>
        <v/>
      </c>
      <c r="Q28" s="21" t="str">
        <f>IF(OR(Main!Q28="",Main!Q28=0),"",INDEX($E$46:$AB$47,2,MATCH(Main!Q28,$E$46:$AB$46,0)))</f>
        <v/>
      </c>
      <c r="R28" s="21" t="str">
        <f>IF(OR(Main!R28="",Main!R28=0),"",INDEX($E$46:$AB$47,2,MATCH(Main!R28,$E$46:$AB$46,0)))</f>
        <v/>
      </c>
      <c r="S28" s="21" t="str">
        <f>IF(OR(Main!S28="",Main!S28=0),"",INDEX($E$46:$AB$47,2,MATCH(Main!S28,$E$46:$AB$46,0)))</f>
        <v/>
      </c>
      <c r="T28" s="21" t="str">
        <f>IF(OR(Main!T28="",Main!T28=0),"",INDEX($E$46:$AB$47,2,MATCH(Main!T28,$E$46:$AB$46,0)))</f>
        <v/>
      </c>
      <c r="U28" s="21" t="str">
        <f>IF(OR(Main!U28="",Main!U28=0),"",INDEX($E$46:$AB$47,2,MATCH(Main!U28,$E$46:$AB$46,0)))</f>
        <v/>
      </c>
      <c r="V28" s="21" t="str">
        <f>IF(OR(Main!V28="",Main!V28=0),"",INDEX($E$46:$AB$47,2,MATCH(Main!V28,$E$46:$AB$46,0)))</f>
        <v/>
      </c>
      <c r="W28" s="21" t="str">
        <f>IF(OR(Main!W28="",Main!W28=0),"",INDEX($E$46:$AB$47,2,MATCH(Main!W28,$E$46:$AB$46,0)))</f>
        <v/>
      </c>
      <c r="X28" s="21" t="str">
        <f>IF(OR(Main!X28="",Main!X28=0),"",INDEX($E$46:$AB$47,2,MATCH(Main!X28,$E$46:$AB$46,0)))</f>
        <v/>
      </c>
      <c r="Y28" s="21" t="str">
        <f>IF(OR(Main!Y28="",Main!Y28=0),"",INDEX($E$46:$AB$47,2,MATCH(Main!Y28,$E$46:$AB$46,0)))</f>
        <v/>
      </c>
      <c r="Z28" s="21" t="str">
        <f>IF(OR(Main!Z28="",Main!Z28=0),"",INDEX($E$46:$AB$47,2,MATCH(Main!Z28,$E$46:$AB$46,0)))</f>
        <v/>
      </c>
      <c r="AA28" s="21" t="str">
        <f>IF(OR(Main!AA28="",Main!AA28=0),"",INDEX($E$46:$AB$47,2,MATCH(Main!AA28,$E$46:$AB$46,0)))</f>
        <v/>
      </c>
      <c r="AB28" s="21" t="str">
        <f>IF(OR(Main!AB28="",Main!AB28=0),"",INDEX($E$46:$AB$47,2,MATCH(Main!AB28,$E$46:$AB$46,0)))</f>
        <v/>
      </c>
      <c r="AC28" s="21" t="str">
        <f>IF(OR(Main!AC28="",Main!AC28=0),"",INDEX($E$46:$AB$47,2,MATCH(Main!AC28,$E$46:$AB$46,0)))</f>
        <v/>
      </c>
      <c r="AD28" s="21" t="str">
        <f>IF(OR(Main!AD28="",Main!AD28=0),"",INDEX($E$46:$AB$47,2,MATCH(Main!AD28,$E$46:$AB$46,0)))</f>
        <v/>
      </c>
      <c r="AE28" s="21" t="str">
        <f>IF(OR(Main!AE28="",Main!AE28=0),"",INDEX($E$46:$AB$47,2,MATCH(Main!AE28,$E$46:$AB$46,0)))</f>
        <v/>
      </c>
      <c r="AF28" s="21" t="str">
        <f>IF(OR(Main!AF28="",Main!AF28=0),"",INDEX($E$46:$AB$47,2,MATCH(Main!AF28,$E$46:$AB$46,0)))</f>
        <v/>
      </c>
      <c r="AG28" s="21" t="str">
        <f>IF(OR(Main!AG28="",Main!AG28=0),"",INDEX($E$46:$AB$47,2,MATCH(Main!AG28,$E$46:$AB$46,0)))</f>
        <v/>
      </c>
      <c r="AH28" s="21" t="str">
        <f>IF(OR(Main!AH28="",Main!AH28=0),"",INDEX($E$46:$AB$47,2,MATCH(Main!AH28,$E$46:$AB$46,0)))</f>
        <v/>
      </c>
      <c r="AI28" s="21" t="str">
        <f>IF(OR(Main!AI28="",Main!AI28=0),"",INDEX($E$46:$AB$47,2,MATCH(Main!AI28,$E$46:$AB$46,0)))</f>
        <v/>
      </c>
      <c r="AJ28" s="21"/>
      <c r="AK28" s="21"/>
      <c r="AL28" s="20"/>
      <c r="AM28" s="20"/>
      <c r="AN28" s="20"/>
      <c r="AO28" s="46"/>
      <c r="AP28" s="20">
        <f t="shared" si="0"/>
        <v>0</v>
      </c>
      <c r="AQ28" s="22"/>
      <c r="AR28" s="20"/>
      <c r="AS28" s="46"/>
      <c r="AT28" s="22">
        <f>IF(Main!AS28="","",$AJ$49)</f>
        <v>19</v>
      </c>
      <c r="AU28" s="20">
        <f>IF(Main!AS28="","",$AK$49)</f>
        <v>152</v>
      </c>
    </row>
    <row r="29" spans="1:47" ht="14.25" customHeight="1" x14ac:dyDescent="0.2">
      <c r="A29" s="23">
        <v>17</v>
      </c>
      <c r="B29" s="23">
        <v>12512</v>
      </c>
      <c r="C29" s="24" t="s">
        <v>81</v>
      </c>
      <c r="D29" s="24" t="s">
        <v>80</v>
      </c>
      <c r="E29" s="21" t="str">
        <f>IF(OR(Main!E29="",Main!E29=0),"",INDEX($E$46:$AB$47,2,MATCH(Main!E29,$E$46:$AB$46,0)))</f>
        <v/>
      </c>
      <c r="F29" s="21">
        <f>IF(OR(Main!F29="",Main!F29=0),"",INDEX($E$46:$AB$47,2,MATCH(Main!F29,$E$46:$AB$46,0)))</f>
        <v>0</v>
      </c>
      <c r="G29" s="21">
        <f>IF(OR(Main!G29="",Main!G29=0),"",INDEX($E$46:$AB$47,2,MATCH(Main!G29,$E$46:$AB$46,0)))</f>
        <v>0</v>
      </c>
      <c r="H29" s="21">
        <f>IF(OR(Main!H29="",Main!H29=0),"",INDEX($E$46:$AB$47,2,MATCH(Main!H29,$E$46:$AB$46,0)))</f>
        <v>0</v>
      </c>
      <c r="I29" s="21">
        <f>IF(OR(Main!I29="",Main!I29=0),"",INDEX($E$46:$AB$47,2,MATCH(Main!I29,$E$46:$AB$46,0)))</f>
        <v>0</v>
      </c>
      <c r="J29" s="21">
        <f>IF(OR(Main!J29="",Main!J29=0),"",INDEX($E$46:$AB$47,2,MATCH(Main!J29,$E$46:$AB$46,0)))</f>
        <v>0</v>
      </c>
      <c r="K29" s="21" t="str">
        <f>IF(OR(Main!K29="",Main!K29=0),"",INDEX($E$46:$AB$47,2,MATCH(Main!K29,$E$46:$AB$46,0)))</f>
        <v/>
      </c>
      <c r="L29" s="21" t="str">
        <f>IF(OR(Main!L29="",Main!L29=0),"",INDEX($E$46:$AB$47,2,MATCH(Main!L29,$E$46:$AB$46,0)))</f>
        <v/>
      </c>
      <c r="M29" s="21" t="str">
        <f>IF(OR(Main!M29="",Main!M29=0),"",INDEX($E$46:$AB$47,2,MATCH(Main!M29,$E$46:$AB$46,0)))</f>
        <v/>
      </c>
      <c r="N29" s="21" t="str">
        <f>IF(OR(Main!N29="",Main!N29=0),"",INDEX($E$46:$AB$47,2,MATCH(Main!N29,$E$46:$AB$46,0)))</f>
        <v/>
      </c>
      <c r="O29" s="21" t="str">
        <f>IF(OR(Main!O29="",Main!O29=0),"",INDEX($E$46:$AB$47,2,MATCH(Main!O29,$E$46:$AB$46,0)))</f>
        <v/>
      </c>
      <c r="P29" s="21" t="str">
        <f>IF(OR(Main!P29="",Main!P29=0),"",INDEX($E$46:$AB$47,2,MATCH(Main!P29,$E$46:$AB$46,0)))</f>
        <v/>
      </c>
      <c r="Q29" s="21" t="str">
        <f>IF(OR(Main!Q29="",Main!Q29=0),"",INDEX($E$46:$AB$47,2,MATCH(Main!Q29,$E$46:$AB$46,0)))</f>
        <v/>
      </c>
      <c r="R29" s="21" t="str">
        <f>IF(OR(Main!R29="",Main!R29=0),"",INDEX($E$46:$AB$47,2,MATCH(Main!R29,$E$46:$AB$46,0)))</f>
        <v/>
      </c>
      <c r="S29" s="21" t="str">
        <f>IF(OR(Main!S29="",Main!S29=0),"",INDEX($E$46:$AB$47,2,MATCH(Main!S29,$E$46:$AB$46,0)))</f>
        <v/>
      </c>
      <c r="T29" s="21" t="str">
        <f>IF(OR(Main!T29="",Main!T29=0),"",INDEX($E$46:$AB$47,2,MATCH(Main!T29,$E$46:$AB$46,0)))</f>
        <v/>
      </c>
      <c r="U29" s="21" t="str">
        <f>IF(OR(Main!U29="",Main!U29=0),"",INDEX($E$46:$AB$47,2,MATCH(Main!U29,$E$46:$AB$46,0)))</f>
        <v/>
      </c>
      <c r="V29" s="21" t="str">
        <f>IF(OR(Main!V29="",Main!V29=0),"",INDEX($E$46:$AB$47,2,MATCH(Main!V29,$E$46:$AB$46,0)))</f>
        <v/>
      </c>
      <c r="W29" s="21" t="str">
        <f>IF(OR(Main!W29="",Main!W29=0),"",INDEX($E$46:$AB$47,2,MATCH(Main!W29,$E$46:$AB$46,0)))</f>
        <v/>
      </c>
      <c r="X29" s="21" t="str">
        <f>IF(OR(Main!X29="",Main!X29=0),"",INDEX($E$46:$AB$47,2,MATCH(Main!X29,$E$46:$AB$46,0)))</f>
        <v/>
      </c>
      <c r="Y29" s="21" t="str">
        <f>IF(OR(Main!Y29="",Main!Y29=0),"",INDEX($E$46:$AB$47,2,MATCH(Main!Y29,$E$46:$AB$46,0)))</f>
        <v/>
      </c>
      <c r="Z29" s="21" t="str">
        <f>IF(OR(Main!Z29="",Main!Z29=0),"",INDEX($E$46:$AB$47,2,MATCH(Main!Z29,$E$46:$AB$46,0)))</f>
        <v/>
      </c>
      <c r="AA29" s="21" t="str">
        <f>IF(OR(Main!AA29="",Main!AA29=0),"",INDEX($E$46:$AB$47,2,MATCH(Main!AA29,$E$46:$AB$46,0)))</f>
        <v/>
      </c>
      <c r="AB29" s="21" t="str">
        <f>IF(OR(Main!AB29="",Main!AB29=0),"",INDEX($E$46:$AB$47,2,MATCH(Main!AB29,$E$46:$AB$46,0)))</f>
        <v/>
      </c>
      <c r="AC29" s="21" t="str">
        <f>IF(OR(Main!AC29="",Main!AC29=0),"",INDEX($E$46:$AB$47,2,MATCH(Main!AC29,$E$46:$AB$46,0)))</f>
        <v/>
      </c>
      <c r="AD29" s="21" t="str">
        <f>IF(OR(Main!AD29="",Main!AD29=0),"",INDEX($E$46:$AB$47,2,MATCH(Main!AD29,$E$46:$AB$46,0)))</f>
        <v/>
      </c>
      <c r="AE29" s="21" t="str">
        <f>IF(OR(Main!AE29="",Main!AE29=0),"",INDEX($E$46:$AB$47,2,MATCH(Main!AE29,$E$46:$AB$46,0)))</f>
        <v/>
      </c>
      <c r="AF29" s="21" t="str">
        <f>IF(OR(Main!AF29="",Main!AF29=0),"",INDEX($E$46:$AB$47,2,MATCH(Main!AF29,$E$46:$AB$46,0)))</f>
        <v/>
      </c>
      <c r="AG29" s="21" t="str">
        <f>IF(OR(Main!AG29="",Main!AG29=0),"",INDEX($E$46:$AB$47,2,MATCH(Main!AG29,$E$46:$AB$46,0)))</f>
        <v/>
      </c>
      <c r="AH29" s="21" t="str">
        <f>IF(OR(Main!AH29="",Main!AH29=0),"",INDEX($E$46:$AB$47,2,MATCH(Main!AH29,$E$46:$AB$46,0)))</f>
        <v/>
      </c>
      <c r="AI29" s="21" t="str">
        <f>IF(OR(Main!AI29="",Main!AI29=0),"",INDEX($E$46:$AB$47,2,MATCH(Main!AI29,$E$46:$AB$46,0)))</f>
        <v/>
      </c>
      <c r="AJ29" s="21"/>
      <c r="AK29" s="21"/>
      <c r="AL29" s="20"/>
      <c r="AM29" s="20"/>
      <c r="AN29" s="20"/>
      <c r="AO29" s="46"/>
      <c r="AP29" s="20">
        <f t="shared" si="0"/>
        <v>0</v>
      </c>
      <c r="AQ29" s="22"/>
      <c r="AR29" s="20"/>
      <c r="AS29" s="46"/>
      <c r="AT29" s="22">
        <f>IF(Main!AS29="","",$AJ$49)</f>
        <v>19</v>
      </c>
      <c r="AU29" s="20">
        <f>IF(Main!AS29="","",$AK$49)</f>
        <v>152</v>
      </c>
    </row>
    <row r="30" spans="1:47" ht="14.25" customHeight="1" x14ac:dyDescent="0.2">
      <c r="A30" s="23"/>
      <c r="B30" s="101" t="s">
        <v>82</v>
      </c>
      <c r="C30" s="92"/>
      <c r="D30" s="93"/>
      <c r="E30" s="21" t="str">
        <f>IF(OR(Main!E30="",Main!E30=0),"",INDEX($E$46:$AB$47,2,MATCH(Main!E30,$E$46:$AB$46,0)))</f>
        <v/>
      </c>
      <c r="F30" s="21" t="str">
        <f>IF(OR(Main!F30="",Main!F30=0),"",INDEX($E$46:$AB$47,2,MATCH(Main!F30,$E$46:$AB$46,0)))</f>
        <v/>
      </c>
      <c r="G30" s="21" t="str">
        <f>IF(OR(Main!G30="",Main!G30=0),"",INDEX($E$46:$AB$47,2,MATCH(Main!G30,$E$46:$AB$46,0)))</f>
        <v/>
      </c>
      <c r="H30" s="21" t="str">
        <f>IF(OR(Main!H30="",Main!H30=0),"",INDEX($E$46:$AB$47,2,MATCH(Main!H30,$E$46:$AB$46,0)))</f>
        <v/>
      </c>
      <c r="I30" s="21" t="str">
        <f>IF(OR(Main!I30="",Main!I30=0),"",INDEX($E$46:$AB$47,2,MATCH(Main!I30,$E$46:$AB$46,0)))</f>
        <v/>
      </c>
      <c r="J30" s="21" t="str">
        <f>IF(OR(Main!J30="",Main!J30=0),"",INDEX($E$46:$AB$47,2,MATCH(Main!J30,$E$46:$AB$46,0)))</f>
        <v/>
      </c>
      <c r="K30" s="21" t="str">
        <f>IF(OR(Main!K30="",Main!K30=0),"",INDEX($E$46:$AB$47,2,MATCH(Main!K30,$E$46:$AB$46,0)))</f>
        <v/>
      </c>
      <c r="L30" s="21" t="str">
        <f>IF(OR(Main!L30="",Main!L30=0),"",INDEX($E$46:$AB$47,2,MATCH(Main!L30,$E$46:$AB$46,0)))</f>
        <v/>
      </c>
      <c r="M30" s="21" t="str">
        <f>IF(OR(Main!M30="",Main!M30=0),"",INDEX($E$46:$AB$47,2,MATCH(Main!M30,$E$46:$AB$46,0)))</f>
        <v/>
      </c>
      <c r="N30" s="21" t="str">
        <f>IF(OR(Main!N30="",Main!N30=0),"",INDEX($E$46:$AB$47,2,MATCH(Main!N30,$E$46:$AB$46,0)))</f>
        <v/>
      </c>
      <c r="O30" s="21" t="str">
        <f>IF(OR(Main!O30="",Main!O30=0),"",INDEX($E$46:$AB$47,2,MATCH(Main!O30,$E$46:$AB$46,0)))</f>
        <v/>
      </c>
      <c r="P30" s="21" t="str">
        <f>IF(OR(Main!P30="",Main!P30=0),"",INDEX($E$46:$AB$47,2,MATCH(Main!P30,$E$46:$AB$46,0)))</f>
        <v/>
      </c>
      <c r="Q30" s="21" t="str">
        <f>IF(OR(Main!Q30="",Main!Q30=0),"",INDEX($E$46:$AB$47,2,MATCH(Main!Q30,$E$46:$AB$46,0)))</f>
        <v/>
      </c>
      <c r="R30" s="21" t="str">
        <f>IF(OR(Main!R30="",Main!R30=0),"",INDEX($E$46:$AB$47,2,MATCH(Main!R30,$E$46:$AB$46,0)))</f>
        <v/>
      </c>
      <c r="S30" s="21" t="str">
        <f>IF(OR(Main!S30="",Main!S30=0),"",INDEX($E$46:$AB$47,2,MATCH(Main!S30,$E$46:$AB$46,0)))</f>
        <v/>
      </c>
      <c r="T30" s="21" t="str">
        <f>IF(OR(Main!T30="",Main!T30=0),"",INDEX($E$46:$AB$47,2,MATCH(Main!T30,$E$46:$AB$46,0)))</f>
        <v/>
      </c>
      <c r="U30" s="21" t="str">
        <f>IF(OR(Main!U30="",Main!U30=0),"",INDEX($E$46:$AB$47,2,MATCH(Main!U30,$E$46:$AB$46,0)))</f>
        <v/>
      </c>
      <c r="V30" s="21" t="str">
        <f>IF(OR(Main!V30="",Main!V30=0),"",INDEX($E$46:$AB$47,2,MATCH(Main!V30,$E$46:$AB$46,0)))</f>
        <v/>
      </c>
      <c r="W30" s="21" t="str">
        <f>IF(OR(Main!W30="",Main!W30=0),"",INDEX($E$46:$AB$47,2,MATCH(Main!W30,$E$46:$AB$46,0)))</f>
        <v/>
      </c>
      <c r="X30" s="21" t="str">
        <f>IF(OR(Main!X30="",Main!X30=0),"",INDEX($E$46:$AB$47,2,MATCH(Main!X30,$E$46:$AB$46,0)))</f>
        <v/>
      </c>
      <c r="Y30" s="21" t="str">
        <f>IF(OR(Main!Y30="",Main!Y30=0),"",INDEX($E$46:$AB$47,2,MATCH(Main!Y30,$E$46:$AB$46,0)))</f>
        <v/>
      </c>
      <c r="Z30" s="21" t="str">
        <f>IF(OR(Main!Z30="",Main!Z30=0),"",INDEX($E$46:$AB$47,2,MATCH(Main!Z30,$E$46:$AB$46,0)))</f>
        <v/>
      </c>
      <c r="AA30" s="21" t="str">
        <f>IF(OR(Main!AA30="",Main!AA30=0),"",INDEX($E$46:$AB$47,2,MATCH(Main!AA30,$E$46:$AB$46,0)))</f>
        <v/>
      </c>
      <c r="AB30" s="21" t="str">
        <f>IF(OR(Main!AB30="",Main!AB30=0),"",INDEX($E$46:$AB$47,2,MATCH(Main!AB30,$E$46:$AB$46,0)))</f>
        <v/>
      </c>
      <c r="AC30" s="21" t="str">
        <f>IF(OR(Main!AC30="",Main!AC30=0),"",INDEX($E$46:$AB$47,2,MATCH(Main!AC30,$E$46:$AB$46,0)))</f>
        <v/>
      </c>
      <c r="AD30" s="21" t="str">
        <f>IF(OR(Main!AD30="",Main!AD30=0),"",INDEX($E$46:$AB$47,2,MATCH(Main!AD30,$E$46:$AB$46,0)))</f>
        <v/>
      </c>
      <c r="AE30" s="21" t="str">
        <f>IF(OR(Main!AE30="",Main!AE30=0),"",INDEX($E$46:$AB$47,2,MATCH(Main!AE30,$E$46:$AB$46,0)))</f>
        <v/>
      </c>
      <c r="AF30" s="21" t="str">
        <f>IF(OR(Main!AF30="",Main!AF30=0),"",INDEX($E$46:$AB$47,2,MATCH(Main!AF30,$E$46:$AB$46,0)))</f>
        <v/>
      </c>
      <c r="AG30" s="21" t="str">
        <f>IF(OR(Main!AG30="",Main!AG30=0),"",INDEX($E$46:$AB$47,2,MATCH(Main!AG30,$E$46:$AB$46,0)))</f>
        <v/>
      </c>
      <c r="AH30" s="21" t="str">
        <f>IF(OR(Main!AH30="",Main!AH30=0),"",INDEX($E$46:$AB$47,2,MATCH(Main!AH30,$E$46:$AB$46,0)))</f>
        <v/>
      </c>
      <c r="AI30" s="21" t="str">
        <f>IF(OR(Main!AI30="",Main!AI30=0),"",INDEX($E$46:$AB$47,2,MATCH(Main!AI30,$E$46:$AB$46,0)))</f>
        <v/>
      </c>
      <c r="AJ30" s="21"/>
      <c r="AK30" s="21"/>
      <c r="AL30" s="20"/>
      <c r="AM30" s="20"/>
      <c r="AN30" s="20"/>
      <c r="AO30" s="46"/>
      <c r="AP30" s="20">
        <f t="shared" si="0"/>
        <v>0</v>
      </c>
      <c r="AQ30" s="22"/>
      <c r="AR30" s="20"/>
      <c r="AS30" s="46"/>
      <c r="AT30" s="22" t="str">
        <f>IF(Main!AS30="","",$AJ$49)</f>
        <v/>
      </c>
      <c r="AU30" s="20" t="str">
        <f>IF(Main!AS30="","",$AK$49)</f>
        <v/>
      </c>
    </row>
    <row r="31" spans="1:47" ht="14.25" customHeight="1" x14ac:dyDescent="0.2">
      <c r="A31" s="23">
        <v>18</v>
      </c>
      <c r="B31" s="23">
        <v>39962</v>
      </c>
      <c r="C31" s="24" t="s">
        <v>83</v>
      </c>
      <c r="D31" s="25" t="s">
        <v>66</v>
      </c>
      <c r="E31" s="21" t="str">
        <f>IF(OR(Main!E31="",Main!E31=0),"",INDEX($E$46:$AB$47,2,MATCH(Main!E31,$E$46:$AB$46,0)))</f>
        <v/>
      </c>
      <c r="F31" s="21">
        <f>IF(OR(Main!F31="",Main!F31=0),"",INDEX($E$46:$AB$47,2,MATCH(Main!F31,$E$46:$AB$46,0)))</f>
        <v>0</v>
      </c>
      <c r="G31" s="21">
        <f>IF(OR(Main!G31="",Main!G31=0),"",INDEX($E$46:$AB$47,2,MATCH(Main!G31,$E$46:$AB$46,0)))</f>
        <v>0</v>
      </c>
      <c r="H31" s="21">
        <f>IF(OR(Main!H31="",Main!H31=0),"",INDEX($E$46:$AB$47,2,MATCH(Main!H31,$E$46:$AB$46,0)))</f>
        <v>0</v>
      </c>
      <c r="I31" s="21">
        <f>IF(OR(Main!I31="",Main!I31=0),"",INDEX($E$46:$AB$47,2,MATCH(Main!I31,$E$46:$AB$46,0)))</f>
        <v>0</v>
      </c>
      <c r="J31" s="21">
        <f>IF(OR(Main!J31="",Main!J31=0),"",INDEX($E$46:$AB$47,2,MATCH(Main!J31,$E$46:$AB$46,0)))</f>
        <v>0</v>
      </c>
      <c r="K31" s="21" t="str">
        <f>IF(OR(Main!K31="",Main!K31=0),"",INDEX($E$46:$AB$47,2,MATCH(Main!K31,$E$46:$AB$46,0)))</f>
        <v/>
      </c>
      <c r="L31" s="21" t="str">
        <f>IF(OR(Main!L31="",Main!L31=0),"",INDEX($E$46:$AB$47,2,MATCH(Main!L31,$E$46:$AB$46,0)))</f>
        <v/>
      </c>
      <c r="M31" s="21" t="str">
        <f>IF(OR(Main!M31="",Main!M31=0),"",INDEX($E$46:$AB$47,2,MATCH(Main!M31,$E$46:$AB$46,0)))</f>
        <v/>
      </c>
      <c r="N31" s="21" t="str">
        <f>IF(OR(Main!N31="",Main!N31=0),"",INDEX($E$46:$AB$47,2,MATCH(Main!N31,$E$46:$AB$46,0)))</f>
        <v/>
      </c>
      <c r="O31" s="21" t="str">
        <f>IF(OR(Main!O31="",Main!O31=0),"",INDEX($E$46:$AB$47,2,MATCH(Main!O31,$E$46:$AB$46,0)))</f>
        <v/>
      </c>
      <c r="P31" s="21" t="str">
        <f>IF(OR(Main!P31="",Main!P31=0),"",INDEX($E$46:$AB$47,2,MATCH(Main!P31,$E$46:$AB$46,0)))</f>
        <v/>
      </c>
      <c r="Q31" s="21" t="str">
        <f>IF(OR(Main!Q31="",Main!Q31=0),"",INDEX($E$46:$AB$47,2,MATCH(Main!Q31,$E$46:$AB$46,0)))</f>
        <v/>
      </c>
      <c r="R31" s="21" t="str">
        <f>IF(OR(Main!R31="",Main!R31=0),"",INDEX($E$46:$AB$47,2,MATCH(Main!R31,$E$46:$AB$46,0)))</f>
        <v/>
      </c>
      <c r="S31" s="21" t="str">
        <f>IF(OR(Main!S31="",Main!S31=0),"",INDEX($E$46:$AB$47,2,MATCH(Main!S31,$E$46:$AB$46,0)))</f>
        <v/>
      </c>
      <c r="T31" s="21" t="str">
        <f>IF(OR(Main!T31="",Main!T31=0),"",INDEX($E$46:$AB$47,2,MATCH(Main!T31,$E$46:$AB$46,0)))</f>
        <v/>
      </c>
      <c r="U31" s="21" t="str">
        <f>IF(OR(Main!U31="",Main!U31=0),"",INDEX($E$46:$AB$47,2,MATCH(Main!U31,$E$46:$AB$46,0)))</f>
        <v/>
      </c>
      <c r="V31" s="21" t="str">
        <f>IF(OR(Main!V31="",Main!V31=0),"",INDEX($E$46:$AB$47,2,MATCH(Main!V31,$E$46:$AB$46,0)))</f>
        <v/>
      </c>
      <c r="W31" s="21" t="str">
        <f>IF(OR(Main!W31="",Main!W31=0),"",INDEX($E$46:$AB$47,2,MATCH(Main!W31,$E$46:$AB$46,0)))</f>
        <v/>
      </c>
      <c r="X31" s="21" t="str">
        <f>IF(OR(Main!X31="",Main!X31=0),"",INDEX($E$46:$AB$47,2,MATCH(Main!X31,$E$46:$AB$46,0)))</f>
        <v/>
      </c>
      <c r="Y31" s="21" t="str">
        <f>IF(OR(Main!Y31="",Main!Y31=0),"",INDEX($E$46:$AB$47,2,MATCH(Main!Y31,$E$46:$AB$46,0)))</f>
        <v/>
      </c>
      <c r="Z31" s="21" t="str">
        <f>IF(OR(Main!Z31="",Main!Z31=0),"",INDEX($E$46:$AB$47,2,MATCH(Main!Z31,$E$46:$AB$46,0)))</f>
        <v/>
      </c>
      <c r="AA31" s="21" t="str">
        <f>IF(OR(Main!AA31="",Main!AA31=0),"",INDEX($E$46:$AB$47,2,MATCH(Main!AA31,$E$46:$AB$46,0)))</f>
        <v/>
      </c>
      <c r="AB31" s="21" t="str">
        <f>IF(OR(Main!AB31="",Main!AB31=0),"",INDEX($E$46:$AB$47,2,MATCH(Main!AB31,$E$46:$AB$46,0)))</f>
        <v/>
      </c>
      <c r="AC31" s="21" t="str">
        <f>IF(OR(Main!AC31="",Main!AC31=0),"",INDEX($E$46:$AB$47,2,MATCH(Main!AC31,$E$46:$AB$46,0)))</f>
        <v/>
      </c>
      <c r="AD31" s="21" t="str">
        <f>IF(OR(Main!AD31="",Main!AD31=0),"",INDEX($E$46:$AB$47,2,MATCH(Main!AD31,$E$46:$AB$46,0)))</f>
        <v/>
      </c>
      <c r="AE31" s="21" t="str">
        <f>IF(OR(Main!AE31="",Main!AE31=0),"",INDEX($E$46:$AB$47,2,MATCH(Main!AE31,$E$46:$AB$46,0)))</f>
        <v/>
      </c>
      <c r="AF31" s="21" t="str">
        <f>IF(OR(Main!AF31="",Main!AF31=0),"",INDEX($E$46:$AB$47,2,MATCH(Main!AF31,$E$46:$AB$46,0)))</f>
        <v/>
      </c>
      <c r="AG31" s="21" t="str">
        <f>IF(OR(Main!AG31="",Main!AG31=0),"",INDEX($E$46:$AB$47,2,MATCH(Main!AG31,$E$46:$AB$46,0)))</f>
        <v/>
      </c>
      <c r="AH31" s="21" t="str">
        <f>IF(OR(Main!AH31="",Main!AH31=0),"",INDEX($E$46:$AB$47,2,MATCH(Main!AH31,$E$46:$AB$46,0)))</f>
        <v/>
      </c>
      <c r="AI31" s="21" t="str">
        <f>IF(OR(Main!AI31="",Main!AI31=0),"",INDEX($E$46:$AB$47,2,MATCH(Main!AI31,$E$46:$AB$46,0)))</f>
        <v/>
      </c>
      <c r="AJ31" s="21"/>
      <c r="AK31" s="21"/>
      <c r="AL31" s="20"/>
      <c r="AM31" s="20"/>
      <c r="AN31" s="20"/>
      <c r="AO31" s="46"/>
      <c r="AP31" s="20">
        <f t="shared" si="0"/>
        <v>0</v>
      </c>
      <c r="AQ31" s="22"/>
      <c r="AR31" s="20"/>
      <c r="AS31" s="46"/>
      <c r="AT31" s="22">
        <f>IF(Main!AS31="","",$AJ$49)</f>
        <v>19</v>
      </c>
      <c r="AU31" s="20">
        <f>IF(Main!AS31="","",$AK$49)</f>
        <v>152</v>
      </c>
    </row>
    <row r="32" spans="1:47" ht="14.25" customHeight="1" x14ac:dyDescent="0.2">
      <c r="A32" s="23">
        <v>19</v>
      </c>
      <c r="B32" s="23">
        <v>85743</v>
      </c>
      <c r="C32" s="24" t="s">
        <v>84</v>
      </c>
      <c r="D32" s="24" t="s">
        <v>62</v>
      </c>
      <c r="E32" s="21" t="str">
        <f>IF(OR(Main!E32="",Main!E32=0),"",INDEX($E$46:$AB$47,2,MATCH(Main!E32,$E$46:$AB$46,0)))</f>
        <v/>
      </c>
      <c r="F32" s="21">
        <f>IF(OR(Main!F32="",Main!F32=0),"",INDEX($E$46:$AB$47,2,MATCH(Main!F32,$E$46:$AB$46,0)))</f>
        <v>0</v>
      </c>
      <c r="G32" s="21">
        <f>IF(OR(Main!G32="",Main!G32=0),"",INDEX($E$46:$AB$47,2,MATCH(Main!G32,$E$46:$AB$46,0)))</f>
        <v>0</v>
      </c>
      <c r="H32" s="21">
        <f>IF(OR(Main!H32="",Main!H32=0),"",INDEX($E$46:$AB$47,2,MATCH(Main!H32,$E$46:$AB$46,0)))</f>
        <v>0</v>
      </c>
      <c r="I32" s="21">
        <f>IF(OR(Main!I32="",Main!I32=0),"",INDEX($E$46:$AB$47,2,MATCH(Main!I32,$E$46:$AB$46,0)))</f>
        <v>0</v>
      </c>
      <c r="J32" s="21">
        <f>IF(OR(Main!J32="",Main!J32=0),"",INDEX($E$46:$AB$47,2,MATCH(Main!J32,$E$46:$AB$46,0)))</f>
        <v>0</v>
      </c>
      <c r="K32" s="21" t="str">
        <f>IF(OR(Main!K32="",Main!K32=0),"",INDEX($E$46:$AB$47,2,MATCH(Main!K32,$E$46:$AB$46,0)))</f>
        <v/>
      </c>
      <c r="L32" s="21" t="str">
        <f>IF(OR(Main!L32="",Main!L32=0),"",INDEX($E$46:$AB$47,2,MATCH(Main!L32,$E$46:$AB$46,0)))</f>
        <v/>
      </c>
      <c r="M32" s="21" t="str">
        <f>IF(OR(Main!M32="",Main!M32=0),"",INDEX($E$46:$AB$47,2,MATCH(Main!M32,$E$46:$AB$46,0)))</f>
        <v/>
      </c>
      <c r="N32" s="21" t="str">
        <f>IF(OR(Main!N32="",Main!N32=0),"",INDEX($E$46:$AB$47,2,MATCH(Main!N32,$E$46:$AB$46,0)))</f>
        <v/>
      </c>
      <c r="O32" s="21" t="str">
        <f>IF(OR(Main!O32="",Main!O32=0),"",INDEX($E$46:$AB$47,2,MATCH(Main!O32,$E$46:$AB$46,0)))</f>
        <v/>
      </c>
      <c r="P32" s="21" t="str">
        <f>IF(OR(Main!P32="",Main!P32=0),"",INDEX($E$46:$AB$47,2,MATCH(Main!P32,$E$46:$AB$46,0)))</f>
        <v/>
      </c>
      <c r="Q32" s="21" t="str">
        <f>IF(OR(Main!Q32="",Main!Q32=0),"",INDEX($E$46:$AB$47,2,MATCH(Main!Q32,$E$46:$AB$46,0)))</f>
        <v/>
      </c>
      <c r="R32" s="21" t="str">
        <f>IF(OR(Main!R32="",Main!R32=0),"",INDEX($E$46:$AB$47,2,MATCH(Main!R32,$E$46:$AB$46,0)))</f>
        <v/>
      </c>
      <c r="S32" s="21" t="str">
        <f>IF(OR(Main!S32="",Main!S32=0),"",INDEX($E$46:$AB$47,2,MATCH(Main!S32,$E$46:$AB$46,0)))</f>
        <v/>
      </c>
      <c r="T32" s="21" t="str">
        <f>IF(OR(Main!T32="",Main!T32=0),"",INDEX($E$46:$AB$47,2,MATCH(Main!T32,$E$46:$AB$46,0)))</f>
        <v/>
      </c>
      <c r="U32" s="21" t="str">
        <f>IF(OR(Main!U32="",Main!U32=0),"",INDEX($E$46:$AB$47,2,MATCH(Main!U32,$E$46:$AB$46,0)))</f>
        <v/>
      </c>
      <c r="V32" s="21" t="str">
        <f>IF(OR(Main!V32="",Main!V32=0),"",INDEX($E$46:$AB$47,2,MATCH(Main!V32,$E$46:$AB$46,0)))</f>
        <v/>
      </c>
      <c r="W32" s="21" t="str">
        <f>IF(OR(Main!W32="",Main!W32=0),"",INDEX($E$46:$AB$47,2,MATCH(Main!W32,$E$46:$AB$46,0)))</f>
        <v/>
      </c>
      <c r="X32" s="21" t="str">
        <f>IF(OR(Main!X32="",Main!X32=0),"",INDEX($E$46:$AB$47,2,MATCH(Main!X32,$E$46:$AB$46,0)))</f>
        <v/>
      </c>
      <c r="Y32" s="21" t="str">
        <f>IF(OR(Main!Y32="",Main!Y32=0),"",INDEX($E$46:$AB$47,2,MATCH(Main!Y32,$E$46:$AB$46,0)))</f>
        <v/>
      </c>
      <c r="Z32" s="21" t="str">
        <f>IF(OR(Main!Z32="",Main!Z32=0),"",INDEX($E$46:$AB$47,2,MATCH(Main!Z32,$E$46:$AB$46,0)))</f>
        <v/>
      </c>
      <c r="AA32" s="21" t="str">
        <f>IF(OR(Main!AA32="",Main!AA32=0),"",INDEX($E$46:$AB$47,2,MATCH(Main!AA32,$E$46:$AB$46,0)))</f>
        <v/>
      </c>
      <c r="AB32" s="21" t="str">
        <f>IF(OR(Main!AB32="",Main!AB32=0),"",INDEX($E$46:$AB$47,2,MATCH(Main!AB32,$E$46:$AB$46,0)))</f>
        <v/>
      </c>
      <c r="AC32" s="21" t="str">
        <f>IF(OR(Main!AC32="",Main!AC32=0),"",INDEX($E$46:$AB$47,2,MATCH(Main!AC32,$E$46:$AB$46,0)))</f>
        <v/>
      </c>
      <c r="AD32" s="21" t="str">
        <f>IF(OR(Main!AD32="",Main!AD32=0),"",INDEX($E$46:$AB$47,2,MATCH(Main!AD32,$E$46:$AB$46,0)))</f>
        <v/>
      </c>
      <c r="AE32" s="21" t="str">
        <f>IF(OR(Main!AE32="",Main!AE32=0),"",INDEX($E$46:$AB$47,2,MATCH(Main!AE32,$E$46:$AB$46,0)))</f>
        <v/>
      </c>
      <c r="AF32" s="21" t="str">
        <f>IF(OR(Main!AF32="",Main!AF32=0),"",INDEX($E$46:$AB$47,2,MATCH(Main!AF32,$E$46:$AB$46,0)))</f>
        <v/>
      </c>
      <c r="AG32" s="21" t="str">
        <f>IF(OR(Main!AG32="",Main!AG32=0),"",INDEX($E$46:$AB$47,2,MATCH(Main!AG32,$E$46:$AB$46,0)))</f>
        <v/>
      </c>
      <c r="AH32" s="21" t="str">
        <f>IF(OR(Main!AH32="",Main!AH32=0),"",INDEX($E$46:$AB$47,2,MATCH(Main!AH32,$E$46:$AB$46,0)))</f>
        <v/>
      </c>
      <c r="AI32" s="21" t="str">
        <f>IF(OR(Main!AI32="",Main!AI32=0),"",INDEX($E$46:$AB$47,2,MATCH(Main!AI32,$E$46:$AB$46,0)))</f>
        <v/>
      </c>
      <c r="AJ32" s="21"/>
      <c r="AK32" s="21"/>
      <c r="AL32" s="20"/>
      <c r="AM32" s="20"/>
      <c r="AN32" s="20"/>
      <c r="AO32" s="46"/>
      <c r="AP32" s="20">
        <f t="shared" si="0"/>
        <v>0</v>
      </c>
      <c r="AQ32" s="22"/>
      <c r="AR32" s="20"/>
      <c r="AS32" s="46"/>
      <c r="AT32" s="22">
        <f>IF(Main!AS32="","",$AJ$49)</f>
        <v>19</v>
      </c>
      <c r="AU32" s="20">
        <f>IF(Main!AS32="","",$AK$49)</f>
        <v>152</v>
      </c>
    </row>
    <row r="33" spans="1:47" ht="14.25" customHeight="1" x14ac:dyDescent="0.2">
      <c r="A33" s="26"/>
      <c r="B33" s="26"/>
      <c r="C33" s="27"/>
      <c r="D33" s="27"/>
      <c r="E33" s="21" t="str">
        <f>IF(OR(Main!E33="",Main!E33=0),"",INDEX($E$46:$AB$47,2,MATCH(Main!E33,$E$46:$AB$46,0)))</f>
        <v/>
      </c>
      <c r="F33" s="21" t="str">
        <f>IF(OR(Main!F33="",Main!F33=0),"",INDEX($E$46:$AB$47,2,MATCH(Main!F33,$E$46:$AB$46,0)))</f>
        <v/>
      </c>
      <c r="G33" s="21" t="str">
        <f>IF(OR(Main!G33="",Main!G33=0),"",INDEX($E$46:$AB$47,2,MATCH(Main!G33,$E$46:$AB$46,0)))</f>
        <v/>
      </c>
      <c r="H33" s="21" t="str">
        <f>IF(OR(Main!H33="",Main!H33=0),"",INDEX($E$46:$AB$47,2,MATCH(Main!H33,$E$46:$AB$46,0)))</f>
        <v/>
      </c>
      <c r="I33" s="21" t="str">
        <f>IF(OR(Main!I33="",Main!I33=0),"",INDEX($E$46:$AB$47,2,MATCH(Main!I33,$E$46:$AB$46,0)))</f>
        <v/>
      </c>
      <c r="J33" s="21" t="str">
        <f>IF(OR(Main!J33="",Main!J33=0),"",INDEX($E$46:$AB$47,2,MATCH(Main!J33,$E$46:$AB$46,0)))</f>
        <v/>
      </c>
      <c r="K33" s="21" t="str">
        <f>IF(OR(Main!K33="",Main!K33=0),"",INDEX($E$46:$AB$47,2,MATCH(Main!K33,$E$46:$AB$46,0)))</f>
        <v/>
      </c>
      <c r="L33" s="21" t="str">
        <f>IF(OR(Main!L33="",Main!L33=0),"",INDEX($E$46:$AB$47,2,MATCH(Main!L33,$E$46:$AB$46,0)))</f>
        <v/>
      </c>
      <c r="M33" s="21" t="str">
        <f>IF(OR(Main!M33="",Main!M33=0),"",INDEX($E$46:$AB$47,2,MATCH(Main!M33,$E$46:$AB$46,0)))</f>
        <v/>
      </c>
      <c r="N33" s="21" t="str">
        <f>IF(OR(Main!N33="",Main!N33=0),"",INDEX($E$46:$AB$47,2,MATCH(Main!N33,$E$46:$AB$46,0)))</f>
        <v/>
      </c>
      <c r="O33" s="21" t="str">
        <f>IF(OR(Main!O33="",Main!O33=0),"",INDEX($E$46:$AB$47,2,MATCH(Main!O33,$E$46:$AB$46,0)))</f>
        <v/>
      </c>
      <c r="P33" s="21" t="str">
        <f>IF(OR(Main!P33="",Main!P33=0),"",INDEX($E$46:$AB$47,2,MATCH(Main!P33,$E$46:$AB$46,0)))</f>
        <v/>
      </c>
      <c r="Q33" s="21" t="str">
        <f>IF(OR(Main!Q33="",Main!Q33=0),"",INDEX($E$46:$AB$47,2,MATCH(Main!Q33,$E$46:$AB$46,0)))</f>
        <v/>
      </c>
      <c r="R33" s="21" t="str">
        <f>IF(OR(Main!R33="",Main!R33=0),"",INDEX($E$46:$AB$47,2,MATCH(Main!R33,$E$46:$AB$46,0)))</f>
        <v/>
      </c>
      <c r="S33" s="21" t="str">
        <f>IF(OR(Main!S33="",Main!S33=0),"",INDEX($E$46:$AB$47,2,MATCH(Main!S33,$E$46:$AB$46,0)))</f>
        <v/>
      </c>
      <c r="T33" s="21" t="str">
        <f>IF(OR(Main!T33="",Main!T33=0),"",INDEX($E$46:$AB$47,2,MATCH(Main!T33,$E$46:$AB$46,0)))</f>
        <v/>
      </c>
      <c r="U33" s="21" t="str">
        <f>IF(OR(Main!U33="",Main!U33=0),"",INDEX($E$46:$AB$47,2,MATCH(Main!U33,$E$46:$AB$46,0)))</f>
        <v/>
      </c>
      <c r="V33" s="21" t="str">
        <f>IF(OR(Main!V33="",Main!V33=0),"",INDEX($E$46:$AB$47,2,MATCH(Main!V33,$E$46:$AB$46,0)))</f>
        <v/>
      </c>
      <c r="W33" s="21" t="str">
        <f>IF(OR(Main!W33="",Main!W33=0),"",INDEX($E$46:$AB$47,2,MATCH(Main!W33,$E$46:$AB$46,0)))</f>
        <v/>
      </c>
      <c r="X33" s="21" t="str">
        <f>IF(OR(Main!X33="",Main!X33=0),"",INDEX($E$46:$AB$47,2,MATCH(Main!X33,$E$46:$AB$46,0)))</f>
        <v/>
      </c>
      <c r="Y33" s="21" t="str">
        <f>IF(OR(Main!Y33="",Main!Y33=0),"",INDEX($E$46:$AB$47,2,MATCH(Main!Y33,$E$46:$AB$46,0)))</f>
        <v/>
      </c>
      <c r="Z33" s="21" t="str">
        <f>IF(OR(Main!Z33="",Main!Z33=0),"",INDEX($E$46:$AB$47,2,MATCH(Main!Z33,$E$46:$AB$46,0)))</f>
        <v/>
      </c>
      <c r="AA33" s="21" t="str">
        <f>IF(OR(Main!AA33="",Main!AA33=0),"",INDEX($E$46:$AB$47,2,MATCH(Main!AA33,$E$46:$AB$46,0)))</f>
        <v/>
      </c>
      <c r="AB33" s="21" t="str">
        <f>IF(OR(Main!AB33="",Main!AB33=0),"",INDEX($E$46:$AB$47,2,MATCH(Main!AB33,$E$46:$AB$46,0)))</f>
        <v/>
      </c>
      <c r="AC33" s="21" t="str">
        <f>IF(OR(Main!AC33="",Main!AC33=0),"",INDEX($E$46:$AB$47,2,MATCH(Main!AC33,$E$46:$AB$46,0)))</f>
        <v/>
      </c>
      <c r="AD33" s="21" t="str">
        <f>IF(OR(Main!AD33="",Main!AD33=0),"",INDEX($E$46:$AB$47,2,MATCH(Main!AD33,$E$46:$AB$46,0)))</f>
        <v/>
      </c>
      <c r="AE33" s="21" t="str">
        <f>IF(OR(Main!AE33="",Main!AE33=0),"",INDEX($E$46:$AB$47,2,MATCH(Main!AE33,$E$46:$AB$46,0)))</f>
        <v/>
      </c>
      <c r="AF33" s="21" t="str">
        <f>IF(OR(Main!AF33="",Main!AF33=0),"",INDEX($E$46:$AB$47,2,MATCH(Main!AF33,$E$46:$AB$46,0)))</f>
        <v/>
      </c>
      <c r="AG33" s="21" t="str">
        <f>IF(OR(Main!AG33="",Main!AG33=0),"",INDEX($E$46:$AB$47,2,MATCH(Main!AG33,$E$46:$AB$46,0)))</f>
        <v/>
      </c>
      <c r="AH33" s="21" t="str">
        <f>IF(OR(Main!AH33="",Main!AH33=0),"",INDEX($E$46:$AB$47,2,MATCH(Main!AH33,$E$46:$AB$46,0)))</f>
        <v/>
      </c>
      <c r="AI33" s="21" t="str">
        <f>IF(OR(Main!AI33="",Main!AI33=0),"",INDEX($E$46:$AB$47,2,MATCH(Main!AI33,$E$46:$AB$46,0)))</f>
        <v/>
      </c>
      <c r="AJ33" s="21"/>
      <c r="AK33" s="21"/>
      <c r="AL33" s="20"/>
      <c r="AM33" s="20"/>
      <c r="AN33" s="20"/>
      <c r="AO33" s="46"/>
      <c r="AP33" s="20">
        <f t="shared" si="0"/>
        <v>0</v>
      </c>
      <c r="AQ33" s="22"/>
      <c r="AR33" s="20"/>
      <c r="AS33" s="46"/>
      <c r="AT33" s="22" t="str">
        <f>IF(Main!AS33="","",$AJ$49)</f>
        <v/>
      </c>
      <c r="AU33" s="20" t="str">
        <f>IF(Main!AS33="","",$AK$49)</f>
        <v/>
      </c>
    </row>
    <row r="34" spans="1:47" ht="14.25" customHeight="1" x14ac:dyDescent="0.2">
      <c r="A34" s="28"/>
      <c r="B34" s="29"/>
      <c r="C34" s="30"/>
      <c r="D34" s="31"/>
      <c r="E34" s="21" t="str">
        <f>IF(OR(Main!E34="",Main!E34=0),"",INDEX($E$46:$AB$47,2,MATCH(Main!E34,$E$46:$AB$46,0)))</f>
        <v/>
      </c>
      <c r="F34" s="21" t="str">
        <f>IF(OR(Main!F34="",Main!F34=0),"",INDEX($E$46:$AB$47,2,MATCH(Main!F34,$E$46:$AB$46,0)))</f>
        <v/>
      </c>
      <c r="G34" s="21" t="str">
        <f>IF(OR(Main!G34="",Main!G34=0),"",INDEX($E$46:$AB$47,2,MATCH(Main!G34,$E$46:$AB$46,0)))</f>
        <v/>
      </c>
      <c r="H34" s="21" t="str">
        <f>IF(OR(Main!H34="",Main!H34=0),"",INDEX($E$46:$AB$47,2,MATCH(Main!H34,$E$46:$AB$46,0)))</f>
        <v/>
      </c>
      <c r="I34" s="21" t="str">
        <f>IF(OR(Main!I34="",Main!I34=0),"",INDEX($E$46:$AB$47,2,MATCH(Main!I34,$E$46:$AB$46,0)))</f>
        <v/>
      </c>
      <c r="J34" s="21" t="str">
        <f>IF(OR(Main!J34="",Main!J34=0),"",INDEX($E$46:$AB$47,2,MATCH(Main!J34,$E$46:$AB$46,0)))</f>
        <v/>
      </c>
      <c r="K34" s="21" t="str">
        <f>IF(OR(Main!K34="",Main!K34=0),"",INDEX($E$46:$AB$47,2,MATCH(Main!K34,$E$46:$AB$46,0)))</f>
        <v/>
      </c>
      <c r="L34" s="21" t="str">
        <f>IF(OR(Main!L34="",Main!L34=0),"",INDEX($E$46:$AB$47,2,MATCH(Main!L34,$E$46:$AB$46,0)))</f>
        <v/>
      </c>
      <c r="M34" s="21" t="str">
        <f>IF(OR(Main!M34="",Main!M34=0),"",INDEX($E$46:$AB$47,2,MATCH(Main!M34,$E$46:$AB$46,0)))</f>
        <v/>
      </c>
      <c r="N34" s="21" t="str">
        <f>IF(OR(Main!N34="",Main!N34=0),"",INDEX($E$46:$AB$47,2,MATCH(Main!N34,$E$46:$AB$46,0)))</f>
        <v/>
      </c>
      <c r="O34" s="21" t="str">
        <f>IF(OR(Main!O34="",Main!O34=0),"",INDEX($E$46:$AB$47,2,MATCH(Main!O34,$E$46:$AB$46,0)))</f>
        <v/>
      </c>
      <c r="P34" s="21" t="str">
        <f>IF(OR(Main!P34="",Main!P34=0),"",INDEX($E$46:$AB$47,2,MATCH(Main!P34,$E$46:$AB$46,0)))</f>
        <v/>
      </c>
      <c r="Q34" s="21" t="str">
        <f>IF(OR(Main!Q34="",Main!Q34=0),"",INDEX($E$46:$AB$47,2,MATCH(Main!Q34,$E$46:$AB$46,0)))</f>
        <v/>
      </c>
      <c r="R34" s="21" t="str">
        <f>IF(OR(Main!R34="",Main!R34=0),"",INDEX($E$46:$AB$47,2,MATCH(Main!R34,$E$46:$AB$46,0)))</f>
        <v/>
      </c>
      <c r="S34" s="21" t="str">
        <f>IF(OR(Main!S34="",Main!S34=0),"",INDEX($E$46:$AB$47,2,MATCH(Main!S34,$E$46:$AB$46,0)))</f>
        <v/>
      </c>
      <c r="T34" s="21" t="str">
        <f>IF(OR(Main!T34="",Main!T34=0),"",INDEX($E$46:$AB$47,2,MATCH(Main!T34,$E$46:$AB$46,0)))</f>
        <v/>
      </c>
      <c r="U34" s="21" t="str">
        <f>IF(OR(Main!U34="",Main!U34=0),"",INDEX($E$46:$AB$47,2,MATCH(Main!U34,$E$46:$AB$46,0)))</f>
        <v/>
      </c>
      <c r="V34" s="21" t="str">
        <f>IF(OR(Main!V34="",Main!V34=0),"",INDEX($E$46:$AB$47,2,MATCH(Main!V34,$E$46:$AB$46,0)))</f>
        <v/>
      </c>
      <c r="W34" s="21" t="str">
        <f>IF(OR(Main!W34="",Main!W34=0),"",INDEX($E$46:$AB$47,2,MATCH(Main!W34,$E$46:$AB$46,0)))</f>
        <v/>
      </c>
      <c r="X34" s="21" t="str">
        <f>IF(OR(Main!X34="",Main!X34=0),"",INDEX($E$46:$AB$47,2,MATCH(Main!X34,$E$46:$AB$46,0)))</f>
        <v/>
      </c>
      <c r="Y34" s="21" t="str">
        <f>IF(OR(Main!Y34="",Main!Y34=0),"",INDEX($E$46:$AB$47,2,MATCH(Main!Y34,$E$46:$AB$46,0)))</f>
        <v/>
      </c>
      <c r="Z34" s="21" t="str">
        <f>IF(OR(Main!Z34="",Main!Z34=0),"",INDEX($E$46:$AB$47,2,MATCH(Main!Z34,$E$46:$AB$46,0)))</f>
        <v/>
      </c>
      <c r="AA34" s="21" t="str">
        <f>IF(OR(Main!AA34="",Main!AA34=0),"",INDEX($E$46:$AB$47,2,MATCH(Main!AA34,$E$46:$AB$46,0)))</f>
        <v/>
      </c>
      <c r="AB34" s="21" t="str">
        <f>IF(OR(Main!AB34="",Main!AB34=0),"",INDEX($E$46:$AB$47,2,MATCH(Main!AB34,$E$46:$AB$46,0)))</f>
        <v/>
      </c>
      <c r="AC34" s="21" t="str">
        <f>IF(OR(Main!AC34="",Main!AC34=0),"",INDEX($E$46:$AB$47,2,MATCH(Main!AC34,$E$46:$AB$46,0)))</f>
        <v/>
      </c>
      <c r="AD34" s="21" t="str">
        <f>IF(OR(Main!AD34="",Main!AD34=0),"",INDEX($E$46:$AB$47,2,MATCH(Main!AD34,$E$46:$AB$46,0)))</f>
        <v/>
      </c>
      <c r="AE34" s="21" t="str">
        <f>IF(OR(Main!AE34="",Main!AE34=0),"",INDEX($E$46:$AB$47,2,MATCH(Main!AE34,$E$46:$AB$46,0)))</f>
        <v/>
      </c>
      <c r="AF34" s="21" t="str">
        <f>IF(OR(Main!AF34="",Main!AF34=0),"",INDEX($E$46:$AB$47,2,MATCH(Main!AF34,$E$46:$AB$46,0)))</f>
        <v/>
      </c>
      <c r="AG34" s="21" t="str">
        <f>IF(OR(Main!AG34="",Main!AG34=0),"",INDEX($E$46:$AB$47,2,MATCH(Main!AG34,$E$46:$AB$46,0)))</f>
        <v/>
      </c>
      <c r="AH34" s="21" t="str">
        <f>IF(OR(Main!AH34="",Main!AH34=0),"",INDEX($E$46:$AB$47,2,MATCH(Main!AH34,$E$46:$AB$46,0)))</f>
        <v/>
      </c>
      <c r="AI34" s="21" t="str">
        <f>IF(OR(Main!AI34="",Main!AI34=0),"",INDEX($E$46:$AB$47,2,MATCH(Main!AI34,$E$46:$AB$46,0)))</f>
        <v/>
      </c>
      <c r="AJ34" s="21"/>
      <c r="AK34" s="21"/>
      <c r="AL34" s="20"/>
      <c r="AM34" s="20"/>
      <c r="AN34" s="20"/>
      <c r="AO34" s="46"/>
      <c r="AP34" s="20">
        <f t="shared" si="0"/>
        <v>0</v>
      </c>
      <c r="AQ34" s="22"/>
      <c r="AR34" s="20"/>
      <c r="AS34" s="46"/>
      <c r="AT34" s="22" t="str">
        <f>IF(Main!AS34="","",$AJ$49)</f>
        <v/>
      </c>
      <c r="AU34" s="20" t="str">
        <f>IF(Main!AS34="","",$AK$49)</f>
        <v/>
      </c>
    </row>
    <row r="35" spans="1:47" ht="14.25" customHeight="1" x14ac:dyDescent="0.2">
      <c r="A35" s="28"/>
      <c r="B35" s="29"/>
      <c r="C35" s="30"/>
      <c r="D35" s="30"/>
      <c r="E35" s="21" t="str">
        <f>IF(OR(Main!E35="",Main!E35=0),"",INDEX($E$46:$AB$47,2,MATCH(Main!E35,$E$46:$AB$46,0)))</f>
        <v/>
      </c>
      <c r="F35" s="21" t="str">
        <f>IF(OR(Main!F35="",Main!F35=0),"",INDEX($E$46:$AB$47,2,MATCH(Main!F35,$E$46:$AB$46,0)))</f>
        <v/>
      </c>
      <c r="G35" s="21" t="str">
        <f>IF(OR(Main!G35="",Main!G35=0),"",INDEX($E$46:$AB$47,2,MATCH(Main!G35,$E$46:$AB$46,0)))</f>
        <v/>
      </c>
      <c r="H35" s="21" t="str">
        <f>IF(OR(Main!H35="",Main!H35=0),"",INDEX($E$46:$AB$47,2,MATCH(Main!H35,$E$46:$AB$46,0)))</f>
        <v/>
      </c>
      <c r="I35" s="21" t="str">
        <f>IF(OR(Main!I35="",Main!I35=0),"",INDEX($E$46:$AB$47,2,MATCH(Main!I35,$E$46:$AB$46,0)))</f>
        <v/>
      </c>
      <c r="J35" s="21" t="str">
        <f>IF(OR(Main!J35="",Main!J35=0),"",INDEX($E$46:$AB$47,2,MATCH(Main!J35,$E$46:$AB$46,0)))</f>
        <v/>
      </c>
      <c r="K35" s="21" t="str">
        <f>IF(OR(Main!K35="",Main!K35=0),"",INDEX($E$46:$AB$47,2,MATCH(Main!K35,$E$46:$AB$46,0)))</f>
        <v/>
      </c>
      <c r="L35" s="21" t="str">
        <f>IF(OR(Main!L35="",Main!L35=0),"",INDEX($E$46:$AB$47,2,MATCH(Main!L35,$E$46:$AB$46,0)))</f>
        <v/>
      </c>
      <c r="M35" s="21" t="str">
        <f>IF(OR(Main!M35="",Main!M35=0),"",INDEX($E$46:$AB$47,2,MATCH(Main!M35,$E$46:$AB$46,0)))</f>
        <v/>
      </c>
      <c r="N35" s="21" t="str">
        <f>IF(OR(Main!N35="",Main!N35=0),"",INDEX($E$46:$AB$47,2,MATCH(Main!N35,$E$46:$AB$46,0)))</f>
        <v/>
      </c>
      <c r="O35" s="21" t="str">
        <f>IF(OR(Main!O35="",Main!O35=0),"",INDEX($E$46:$AB$47,2,MATCH(Main!O35,$E$46:$AB$46,0)))</f>
        <v/>
      </c>
      <c r="P35" s="21" t="str">
        <f>IF(OR(Main!P35="",Main!P35=0),"",INDEX($E$46:$AB$47,2,MATCH(Main!P35,$E$46:$AB$46,0)))</f>
        <v/>
      </c>
      <c r="Q35" s="21" t="str">
        <f>IF(OR(Main!Q35="",Main!Q35=0),"",INDEX($E$46:$AB$47,2,MATCH(Main!Q35,$E$46:$AB$46,0)))</f>
        <v/>
      </c>
      <c r="R35" s="21" t="str">
        <f>IF(OR(Main!R35="",Main!R35=0),"",INDEX($E$46:$AB$47,2,MATCH(Main!R35,$E$46:$AB$46,0)))</f>
        <v/>
      </c>
      <c r="S35" s="21" t="str">
        <f>IF(OR(Main!S35="",Main!S35=0),"",INDEX($E$46:$AB$47,2,MATCH(Main!S35,$E$46:$AB$46,0)))</f>
        <v/>
      </c>
      <c r="T35" s="21" t="str">
        <f>IF(OR(Main!T35="",Main!T35=0),"",INDEX($E$46:$AB$47,2,MATCH(Main!T35,$E$46:$AB$46,0)))</f>
        <v/>
      </c>
      <c r="U35" s="21" t="str">
        <f>IF(OR(Main!U35="",Main!U35=0),"",INDEX($E$46:$AB$47,2,MATCH(Main!U35,$E$46:$AB$46,0)))</f>
        <v/>
      </c>
      <c r="V35" s="21" t="str">
        <f>IF(OR(Main!V35="",Main!V35=0),"",INDEX($E$46:$AB$47,2,MATCH(Main!V35,$E$46:$AB$46,0)))</f>
        <v/>
      </c>
      <c r="W35" s="21" t="str">
        <f>IF(OR(Main!W35="",Main!W35=0),"",INDEX($E$46:$AB$47,2,MATCH(Main!W35,$E$46:$AB$46,0)))</f>
        <v/>
      </c>
      <c r="X35" s="21" t="str">
        <f>IF(OR(Main!X35="",Main!X35=0),"",INDEX($E$46:$AB$47,2,MATCH(Main!X35,$E$46:$AB$46,0)))</f>
        <v/>
      </c>
      <c r="Y35" s="21" t="str">
        <f>IF(OR(Main!Y35="",Main!Y35=0),"",INDEX($E$46:$AB$47,2,MATCH(Main!Y35,$E$46:$AB$46,0)))</f>
        <v/>
      </c>
      <c r="Z35" s="21" t="str">
        <f>IF(OR(Main!Z35="",Main!Z35=0),"",INDEX($E$46:$AB$47,2,MATCH(Main!Z35,$E$46:$AB$46,0)))</f>
        <v/>
      </c>
      <c r="AA35" s="21" t="str">
        <f>IF(OR(Main!AA35="",Main!AA35=0),"",INDEX($E$46:$AB$47,2,MATCH(Main!AA35,$E$46:$AB$46,0)))</f>
        <v/>
      </c>
      <c r="AB35" s="21" t="str">
        <f>IF(OR(Main!AB35="",Main!AB35=0),"",INDEX($E$46:$AB$47,2,MATCH(Main!AB35,$E$46:$AB$46,0)))</f>
        <v/>
      </c>
      <c r="AC35" s="21" t="str">
        <f>IF(OR(Main!AC35="",Main!AC35=0),"",INDEX($E$46:$AB$47,2,MATCH(Main!AC35,$E$46:$AB$46,0)))</f>
        <v/>
      </c>
      <c r="AD35" s="21" t="str">
        <f>IF(OR(Main!AD35="",Main!AD35=0),"",INDEX($E$46:$AB$47,2,MATCH(Main!AD35,$E$46:$AB$46,0)))</f>
        <v/>
      </c>
      <c r="AE35" s="21" t="str">
        <f>IF(OR(Main!AE35="",Main!AE35=0),"",INDEX($E$46:$AB$47,2,MATCH(Main!AE35,$E$46:$AB$46,0)))</f>
        <v/>
      </c>
      <c r="AF35" s="21" t="str">
        <f>IF(OR(Main!AF35="",Main!AF35=0),"",INDEX($E$46:$AB$47,2,MATCH(Main!AF35,$E$46:$AB$46,0)))</f>
        <v/>
      </c>
      <c r="AG35" s="21" t="str">
        <f>IF(OR(Main!AG35="",Main!AG35=0),"",INDEX($E$46:$AB$47,2,MATCH(Main!AG35,$E$46:$AB$46,0)))</f>
        <v/>
      </c>
      <c r="AH35" s="21" t="str">
        <f>IF(OR(Main!AH35="",Main!AH35=0),"",INDEX($E$46:$AB$47,2,MATCH(Main!AH35,$E$46:$AB$46,0)))</f>
        <v/>
      </c>
      <c r="AI35" s="21" t="str">
        <f>IF(OR(Main!AI35="",Main!AI35=0),"",INDEX($E$46:$AB$47,2,MATCH(Main!AI35,$E$46:$AB$46,0)))</f>
        <v/>
      </c>
      <c r="AJ35" s="21"/>
      <c r="AK35" s="21"/>
      <c r="AL35" s="20"/>
      <c r="AM35" s="20"/>
      <c r="AN35" s="20"/>
      <c r="AO35" s="46"/>
      <c r="AP35" s="20">
        <f t="shared" si="0"/>
        <v>0</v>
      </c>
      <c r="AQ35" s="22"/>
      <c r="AR35" s="20"/>
      <c r="AS35" s="46"/>
      <c r="AT35" s="22" t="str">
        <f>IF(Main!AS35="","",$AJ$49)</f>
        <v/>
      </c>
      <c r="AU35" s="20" t="str">
        <f>IF(Main!AS35="","",$AK$49)</f>
        <v/>
      </c>
    </row>
    <row r="36" spans="1:47" ht="14.25" customHeight="1" x14ac:dyDescent="0.2">
      <c r="A36" s="28"/>
      <c r="B36" s="29"/>
      <c r="C36" s="30"/>
      <c r="D36" s="30"/>
      <c r="E36" s="21" t="str">
        <f>IF(OR(Main!E36="",Main!E36=0),"",INDEX($E$46:$AB$47,2,MATCH(Main!E36,$E$46:$AB$46,0)))</f>
        <v/>
      </c>
      <c r="F36" s="21" t="str">
        <f>IF(OR(Main!F36="",Main!F36=0),"",INDEX($E$46:$AB$47,2,MATCH(Main!F36,$E$46:$AB$46,0)))</f>
        <v/>
      </c>
      <c r="G36" s="21" t="str">
        <f>IF(OR(Main!G36="",Main!G36=0),"",INDEX($E$46:$AB$47,2,MATCH(Main!G36,$E$46:$AB$46,0)))</f>
        <v/>
      </c>
      <c r="H36" s="21" t="str">
        <f>IF(OR(Main!H36="",Main!H36=0),"",INDEX($E$46:$AB$47,2,MATCH(Main!H36,$E$46:$AB$46,0)))</f>
        <v/>
      </c>
      <c r="I36" s="21" t="str">
        <f>IF(OR(Main!I36="",Main!I36=0),"",INDEX($E$46:$AB$47,2,MATCH(Main!I36,$E$46:$AB$46,0)))</f>
        <v/>
      </c>
      <c r="J36" s="21" t="str">
        <f>IF(OR(Main!J36="",Main!J36=0),"",INDEX($E$46:$AB$47,2,MATCH(Main!J36,$E$46:$AB$46,0)))</f>
        <v/>
      </c>
      <c r="K36" s="21" t="str">
        <f>IF(OR(Main!K36="",Main!K36=0),"",INDEX($E$46:$AB$47,2,MATCH(Main!K36,$E$46:$AB$46,0)))</f>
        <v/>
      </c>
      <c r="L36" s="21" t="str">
        <f>IF(OR(Main!L36="",Main!L36=0),"",INDEX($E$46:$AB$47,2,MATCH(Main!L36,$E$46:$AB$46,0)))</f>
        <v/>
      </c>
      <c r="M36" s="21" t="str">
        <f>IF(OR(Main!M36="",Main!M36=0),"",INDEX($E$46:$AB$47,2,MATCH(Main!M36,$E$46:$AB$46,0)))</f>
        <v/>
      </c>
      <c r="N36" s="21" t="str">
        <f>IF(OR(Main!N36="",Main!N36=0),"",INDEX($E$46:$AB$47,2,MATCH(Main!N36,$E$46:$AB$46,0)))</f>
        <v/>
      </c>
      <c r="O36" s="21" t="str">
        <f>IF(OR(Main!O36="",Main!O36=0),"",INDEX($E$46:$AB$47,2,MATCH(Main!O36,$E$46:$AB$46,0)))</f>
        <v/>
      </c>
      <c r="P36" s="21" t="str">
        <f>IF(OR(Main!P36="",Main!P36=0),"",INDEX($E$46:$AB$47,2,MATCH(Main!P36,$E$46:$AB$46,0)))</f>
        <v/>
      </c>
      <c r="Q36" s="21" t="str">
        <f>IF(OR(Main!Q36="",Main!Q36=0),"",INDEX($E$46:$AB$47,2,MATCH(Main!Q36,$E$46:$AB$46,0)))</f>
        <v/>
      </c>
      <c r="R36" s="21" t="str">
        <f>IF(OR(Main!R36="",Main!R36=0),"",INDEX($E$46:$AB$47,2,MATCH(Main!R36,$E$46:$AB$46,0)))</f>
        <v/>
      </c>
      <c r="S36" s="21" t="str">
        <f>IF(OR(Main!S36="",Main!S36=0),"",INDEX($E$46:$AB$47,2,MATCH(Main!S36,$E$46:$AB$46,0)))</f>
        <v/>
      </c>
      <c r="T36" s="21" t="str">
        <f>IF(OR(Main!T36="",Main!T36=0),"",INDEX($E$46:$AB$47,2,MATCH(Main!T36,$E$46:$AB$46,0)))</f>
        <v/>
      </c>
      <c r="U36" s="21" t="str">
        <f>IF(OR(Main!U36="",Main!U36=0),"",INDEX($E$46:$AB$47,2,MATCH(Main!U36,$E$46:$AB$46,0)))</f>
        <v/>
      </c>
      <c r="V36" s="21" t="str">
        <f>IF(OR(Main!V36="",Main!V36=0),"",INDEX($E$46:$AB$47,2,MATCH(Main!V36,$E$46:$AB$46,0)))</f>
        <v/>
      </c>
      <c r="W36" s="21" t="str">
        <f>IF(OR(Main!W36="",Main!W36=0),"",INDEX($E$46:$AB$47,2,MATCH(Main!W36,$E$46:$AB$46,0)))</f>
        <v/>
      </c>
      <c r="X36" s="21" t="str">
        <f>IF(OR(Main!X36="",Main!X36=0),"",INDEX($E$46:$AB$47,2,MATCH(Main!X36,$E$46:$AB$46,0)))</f>
        <v/>
      </c>
      <c r="Y36" s="21" t="str">
        <f>IF(OR(Main!Y36="",Main!Y36=0),"",INDEX($E$46:$AB$47,2,MATCH(Main!Y36,$E$46:$AB$46,0)))</f>
        <v/>
      </c>
      <c r="Z36" s="21" t="str">
        <f>IF(OR(Main!Z36="",Main!Z36=0),"",INDEX($E$46:$AB$47,2,MATCH(Main!Z36,$E$46:$AB$46,0)))</f>
        <v/>
      </c>
      <c r="AA36" s="21" t="str">
        <f>IF(OR(Main!AA36="",Main!AA36=0),"",INDEX($E$46:$AB$47,2,MATCH(Main!AA36,$E$46:$AB$46,0)))</f>
        <v/>
      </c>
      <c r="AB36" s="21" t="str">
        <f>IF(OR(Main!AB36="",Main!AB36=0),"",INDEX($E$46:$AB$47,2,MATCH(Main!AB36,$E$46:$AB$46,0)))</f>
        <v/>
      </c>
      <c r="AC36" s="21" t="str">
        <f>IF(OR(Main!AC36="",Main!AC36=0),"",INDEX($E$46:$AB$47,2,MATCH(Main!AC36,$E$46:$AB$46,0)))</f>
        <v/>
      </c>
      <c r="AD36" s="21" t="str">
        <f>IF(OR(Main!AD36="",Main!AD36=0),"",INDEX($E$46:$AB$47,2,MATCH(Main!AD36,$E$46:$AB$46,0)))</f>
        <v/>
      </c>
      <c r="AE36" s="21" t="str">
        <f>IF(OR(Main!AE36="",Main!AE36=0),"",INDEX($E$46:$AB$47,2,MATCH(Main!AE36,$E$46:$AB$46,0)))</f>
        <v/>
      </c>
      <c r="AF36" s="21" t="str">
        <f>IF(OR(Main!AF36="",Main!AF36=0),"",INDEX($E$46:$AB$47,2,MATCH(Main!AF36,$E$46:$AB$46,0)))</f>
        <v/>
      </c>
      <c r="AG36" s="21" t="str">
        <f>IF(OR(Main!AG36="",Main!AG36=0),"",INDEX($E$46:$AB$47,2,MATCH(Main!AG36,$E$46:$AB$46,0)))</f>
        <v/>
      </c>
      <c r="AH36" s="21" t="str">
        <f>IF(OR(Main!AH36="",Main!AH36=0),"",INDEX($E$46:$AB$47,2,MATCH(Main!AH36,$E$46:$AB$46,0)))</f>
        <v/>
      </c>
      <c r="AI36" s="21" t="str">
        <f>IF(OR(Main!AI36="",Main!AI36=0),"",INDEX($E$46:$AB$47,2,MATCH(Main!AI36,$E$46:$AB$46,0)))</f>
        <v/>
      </c>
      <c r="AJ36" s="21"/>
      <c r="AK36" s="21"/>
      <c r="AL36" s="20"/>
      <c r="AM36" s="20"/>
      <c r="AN36" s="20"/>
      <c r="AO36" s="46"/>
      <c r="AP36" s="20">
        <f t="shared" si="0"/>
        <v>0</v>
      </c>
      <c r="AQ36" s="22"/>
      <c r="AR36" s="20"/>
      <c r="AS36" s="46"/>
      <c r="AT36" s="22" t="str">
        <f>IF(Main!AS36="","",$AJ$49)</f>
        <v/>
      </c>
      <c r="AU36" s="20" t="str">
        <f>IF(Main!AS36="","",$AK$49)</f>
        <v/>
      </c>
    </row>
    <row r="37" spans="1:47" ht="14.25" customHeight="1" x14ac:dyDescent="0.2">
      <c r="A37" s="28"/>
      <c r="B37" s="29"/>
      <c r="C37" s="30"/>
      <c r="D37" s="30"/>
      <c r="E37" s="21" t="str">
        <f>IF(OR(Main!E37="",Main!E37=0),"",INDEX($E$46:$AB$47,2,MATCH(Main!E37,$E$46:$AB$46,0)))</f>
        <v/>
      </c>
      <c r="F37" s="21" t="str">
        <f>IF(OR(Main!F37="",Main!F37=0),"",INDEX($E$46:$AB$47,2,MATCH(Main!F37,$E$46:$AB$46,0)))</f>
        <v/>
      </c>
      <c r="G37" s="21" t="str">
        <f>IF(OR(Main!G37="",Main!G37=0),"",INDEX($E$46:$AB$47,2,MATCH(Main!G37,$E$46:$AB$46,0)))</f>
        <v/>
      </c>
      <c r="H37" s="21" t="str">
        <f>IF(OR(Main!H37="",Main!H37=0),"",INDEX($E$46:$AB$47,2,MATCH(Main!H37,$E$46:$AB$46,0)))</f>
        <v/>
      </c>
      <c r="I37" s="21" t="str">
        <f>IF(OR(Main!I37="",Main!I37=0),"",INDEX($E$46:$AB$47,2,MATCH(Main!I37,$E$46:$AB$46,0)))</f>
        <v/>
      </c>
      <c r="J37" s="21" t="str">
        <f>IF(OR(Main!J37="",Main!J37=0),"",INDEX($E$46:$AB$47,2,MATCH(Main!J37,$E$46:$AB$46,0)))</f>
        <v/>
      </c>
      <c r="K37" s="21" t="str">
        <f>IF(OR(Main!K37="",Main!K37=0),"",INDEX($E$46:$AB$47,2,MATCH(Main!K37,$E$46:$AB$46,0)))</f>
        <v/>
      </c>
      <c r="L37" s="21" t="str">
        <f>IF(OR(Main!L37="",Main!L37=0),"",INDEX($E$46:$AB$47,2,MATCH(Main!L37,$E$46:$AB$46,0)))</f>
        <v/>
      </c>
      <c r="M37" s="21" t="str">
        <f>IF(OR(Main!M37="",Main!M37=0),"",INDEX($E$46:$AB$47,2,MATCH(Main!M37,$E$46:$AB$46,0)))</f>
        <v/>
      </c>
      <c r="N37" s="21" t="str">
        <f>IF(OR(Main!N37="",Main!N37=0),"",INDEX($E$46:$AB$47,2,MATCH(Main!N37,$E$46:$AB$46,0)))</f>
        <v/>
      </c>
      <c r="O37" s="21" t="str">
        <f>IF(OR(Main!O37="",Main!O37=0),"",INDEX($E$46:$AB$47,2,MATCH(Main!O37,$E$46:$AB$46,0)))</f>
        <v/>
      </c>
      <c r="P37" s="21" t="str">
        <f>IF(OR(Main!P37="",Main!P37=0),"",INDEX($E$46:$AB$47,2,MATCH(Main!P37,$E$46:$AB$46,0)))</f>
        <v/>
      </c>
      <c r="Q37" s="21" t="str">
        <f>IF(OR(Main!Q37="",Main!Q37=0),"",INDEX($E$46:$AB$47,2,MATCH(Main!Q37,$E$46:$AB$46,0)))</f>
        <v/>
      </c>
      <c r="R37" s="21" t="str">
        <f>IF(OR(Main!R37="",Main!R37=0),"",INDEX($E$46:$AB$47,2,MATCH(Main!R37,$E$46:$AB$46,0)))</f>
        <v/>
      </c>
      <c r="S37" s="21" t="str">
        <f>IF(OR(Main!S37="",Main!S37=0),"",INDEX($E$46:$AB$47,2,MATCH(Main!S37,$E$46:$AB$46,0)))</f>
        <v/>
      </c>
      <c r="T37" s="21" t="str">
        <f>IF(OR(Main!T37="",Main!T37=0),"",INDEX($E$46:$AB$47,2,MATCH(Main!T37,$E$46:$AB$46,0)))</f>
        <v/>
      </c>
      <c r="U37" s="21" t="str">
        <f>IF(OR(Main!U37="",Main!U37=0),"",INDEX($E$46:$AB$47,2,MATCH(Main!U37,$E$46:$AB$46,0)))</f>
        <v/>
      </c>
      <c r="V37" s="21" t="str">
        <f>IF(OR(Main!V37="",Main!V37=0),"",INDEX($E$46:$AB$47,2,MATCH(Main!V37,$E$46:$AB$46,0)))</f>
        <v/>
      </c>
      <c r="W37" s="21" t="str">
        <f>IF(OR(Main!W37="",Main!W37=0),"",INDEX($E$46:$AB$47,2,MATCH(Main!W37,$E$46:$AB$46,0)))</f>
        <v/>
      </c>
      <c r="X37" s="21" t="str">
        <f>IF(OR(Main!X37="",Main!X37=0),"",INDEX($E$46:$AB$47,2,MATCH(Main!X37,$E$46:$AB$46,0)))</f>
        <v/>
      </c>
      <c r="Y37" s="21" t="str">
        <f>IF(OR(Main!Y37="",Main!Y37=0),"",INDEX($E$46:$AB$47,2,MATCH(Main!Y37,$E$46:$AB$46,0)))</f>
        <v/>
      </c>
      <c r="Z37" s="21" t="str">
        <f>IF(OR(Main!Z37="",Main!Z37=0),"",INDEX($E$46:$AB$47,2,MATCH(Main!Z37,$E$46:$AB$46,0)))</f>
        <v/>
      </c>
      <c r="AA37" s="21" t="str">
        <f>IF(OR(Main!AA37="",Main!AA37=0),"",INDEX($E$46:$AB$47,2,MATCH(Main!AA37,$E$46:$AB$46,0)))</f>
        <v/>
      </c>
      <c r="AB37" s="21" t="str">
        <f>IF(OR(Main!AB37="",Main!AB37=0),"",INDEX($E$46:$AB$47,2,MATCH(Main!AB37,$E$46:$AB$46,0)))</f>
        <v/>
      </c>
      <c r="AC37" s="21" t="str">
        <f>IF(OR(Main!AC37="",Main!AC37=0),"",INDEX($E$46:$AB$47,2,MATCH(Main!AC37,$E$46:$AB$46,0)))</f>
        <v/>
      </c>
      <c r="AD37" s="21" t="str">
        <f>IF(OR(Main!AD37="",Main!AD37=0),"",INDEX($E$46:$AB$47,2,MATCH(Main!AD37,$E$46:$AB$46,0)))</f>
        <v/>
      </c>
      <c r="AE37" s="21" t="str">
        <f>IF(OR(Main!AE37="",Main!AE37=0),"",INDEX($E$46:$AB$47,2,MATCH(Main!AE37,$E$46:$AB$46,0)))</f>
        <v/>
      </c>
      <c r="AF37" s="21" t="str">
        <f>IF(OR(Main!AF37="",Main!AF37=0),"",INDEX($E$46:$AB$47,2,MATCH(Main!AF37,$E$46:$AB$46,0)))</f>
        <v/>
      </c>
      <c r="AG37" s="21" t="str">
        <f>IF(OR(Main!AG37="",Main!AG37=0),"",INDEX($E$46:$AB$47,2,MATCH(Main!AG37,$E$46:$AB$46,0)))</f>
        <v/>
      </c>
      <c r="AH37" s="21" t="str">
        <f>IF(OR(Main!AH37="",Main!AH37=0),"",INDEX($E$46:$AB$47,2,MATCH(Main!AH37,$E$46:$AB$46,0)))</f>
        <v/>
      </c>
      <c r="AI37" s="21" t="str">
        <f>IF(OR(Main!AI37="",Main!AI37=0),"",INDEX($E$46:$AB$47,2,MATCH(Main!AI37,$E$46:$AB$46,0)))</f>
        <v/>
      </c>
      <c r="AJ37" s="21"/>
      <c r="AK37" s="21"/>
      <c r="AL37" s="20"/>
      <c r="AM37" s="20"/>
      <c r="AN37" s="20"/>
      <c r="AO37" s="46"/>
      <c r="AP37" s="20">
        <f t="shared" si="0"/>
        <v>0</v>
      </c>
      <c r="AQ37" s="22"/>
      <c r="AR37" s="20"/>
      <c r="AS37" s="46"/>
      <c r="AT37" s="22" t="str">
        <f>IF(Main!AS37="","",$AJ$49)</f>
        <v/>
      </c>
      <c r="AU37" s="20" t="str">
        <f>IF(Main!AS37="","",$AK$49)</f>
        <v/>
      </c>
    </row>
    <row r="38" spans="1:47" ht="14.25" customHeight="1" x14ac:dyDescent="0.2">
      <c r="A38" s="28"/>
      <c r="B38" s="29"/>
      <c r="C38" s="30"/>
      <c r="D38" s="30"/>
      <c r="E38" s="21" t="str">
        <f>IF(OR(Main!E38="",Main!E38=0),"",INDEX($E$46:$AB$47,2,MATCH(Main!E38,$E$46:$AB$46,0)))</f>
        <v/>
      </c>
      <c r="F38" s="21" t="str">
        <f>IF(OR(Main!F38="",Main!F38=0),"",INDEX($E$46:$AB$47,2,MATCH(Main!F38,$E$46:$AB$46,0)))</f>
        <v/>
      </c>
      <c r="G38" s="21" t="str">
        <f>IF(OR(Main!G38="",Main!G38=0),"",INDEX($E$46:$AB$47,2,MATCH(Main!G38,$E$46:$AB$46,0)))</f>
        <v/>
      </c>
      <c r="H38" s="21" t="str">
        <f>IF(OR(Main!H38="",Main!H38=0),"",INDEX($E$46:$AB$47,2,MATCH(Main!H38,$E$46:$AB$46,0)))</f>
        <v/>
      </c>
      <c r="I38" s="21" t="str">
        <f>IF(OR(Main!I38="",Main!I38=0),"",INDEX($E$46:$AB$47,2,MATCH(Main!I38,$E$46:$AB$46,0)))</f>
        <v/>
      </c>
      <c r="J38" s="21" t="str">
        <f>IF(OR(Main!J38="",Main!J38=0),"",INDEX($E$46:$AB$47,2,MATCH(Main!J38,$E$46:$AB$46,0)))</f>
        <v/>
      </c>
      <c r="K38" s="21" t="str">
        <f>IF(OR(Main!K38="",Main!K38=0),"",INDEX($E$46:$AB$47,2,MATCH(Main!K38,$E$46:$AB$46,0)))</f>
        <v/>
      </c>
      <c r="L38" s="21" t="str">
        <f>IF(OR(Main!L38="",Main!L38=0),"",INDEX($E$46:$AB$47,2,MATCH(Main!L38,$E$46:$AB$46,0)))</f>
        <v/>
      </c>
      <c r="M38" s="21" t="str">
        <f>IF(OR(Main!M38="",Main!M38=0),"",INDEX($E$46:$AB$47,2,MATCH(Main!M38,$E$46:$AB$46,0)))</f>
        <v/>
      </c>
      <c r="N38" s="21" t="str">
        <f>IF(OR(Main!N38="",Main!N38=0),"",INDEX($E$46:$AB$47,2,MATCH(Main!N38,$E$46:$AB$46,0)))</f>
        <v/>
      </c>
      <c r="O38" s="21" t="str">
        <f>IF(OR(Main!O38="",Main!O38=0),"",INDEX($E$46:$AB$47,2,MATCH(Main!O38,$E$46:$AB$46,0)))</f>
        <v/>
      </c>
      <c r="P38" s="21" t="str">
        <f>IF(OR(Main!P38="",Main!P38=0),"",INDEX($E$46:$AB$47,2,MATCH(Main!P38,$E$46:$AB$46,0)))</f>
        <v/>
      </c>
      <c r="Q38" s="21" t="str">
        <f>IF(OR(Main!Q38="",Main!Q38=0),"",INDEX($E$46:$AB$47,2,MATCH(Main!Q38,$E$46:$AB$46,0)))</f>
        <v/>
      </c>
      <c r="R38" s="21" t="str">
        <f>IF(OR(Main!R38="",Main!R38=0),"",INDEX($E$46:$AB$47,2,MATCH(Main!R38,$E$46:$AB$46,0)))</f>
        <v/>
      </c>
      <c r="S38" s="21" t="str">
        <f>IF(OR(Main!S38="",Main!S38=0),"",INDEX($E$46:$AB$47,2,MATCH(Main!S38,$E$46:$AB$46,0)))</f>
        <v/>
      </c>
      <c r="T38" s="21" t="str">
        <f>IF(OR(Main!T38="",Main!T38=0),"",INDEX($E$46:$AB$47,2,MATCH(Main!T38,$E$46:$AB$46,0)))</f>
        <v/>
      </c>
      <c r="U38" s="21" t="str">
        <f>IF(OR(Main!U38="",Main!U38=0),"",INDEX($E$46:$AB$47,2,MATCH(Main!U38,$E$46:$AB$46,0)))</f>
        <v/>
      </c>
      <c r="V38" s="21" t="str">
        <f>IF(OR(Main!V38="",Main!V38=0),"",INDEX($E$46:$AB$47,2,MATCH(Main!V38,$E$46:$AB$46,0)))</f>
        <v/>
      </c>
      <c r="W38" s="21" t="str">
        <f>IF(OR(Main!W38="",Main!W38=0),"",INDEX($E$46:$AB$47,2,MATCH(Main!W38,$E$46:$AB$46,0)))</f>
        <v/>
      </c>
      <c r="X38" s="21" t="str">
        <f>IF(OR(Main!X38="",Main!X38=0),"",INDEX($E$46:$AB$47,2,MATCH(Main!X38,$E$46:$AB$46,0)))</f>
        <v/>
      </c>
      <c r="Y38" s="21" t="str">
        <f>IF(OR(Main!Y38="",Main!Y38=0),"",INDEX($E$46:$AB$47,2,MATCH(Main!Y38,$E$46:$AB$46,0)))</f>
        <v/>
      </c>
      <c r="Z38" s="21" t="str">
        <f>IF(OR(Main!Z38="",Main!Z38=0),"",INDEX($E$46:$AB$47,2,MATCH(Main!Z38,$E$46:$AB$46,0)))</f>
        <v/>
      </c>
      <c r="AA38" s="21" t="str">
        <f>IF(OR(Main!AA38="",Main!AA38=0),"",INDEX($E$46:$AB$47,2,MATCH(Main!AA38,$E$46:$AB$46,0)))</f>
        <v/>
      </c>
      <c r="AB38" s="21" t="str">
        <f>IF(OR(Main!AB38="",Main!AB38=0),"",INDEX($E$46:$AB$47,2,MATCH(Main!AB38,$E$46:$AB$46,0)))</f>
        <v/>
      </c>
      <c r="AC38" s="21" t="str">
        <f>IF(OR(Main!AC38="",Main!AC38=0),"",INDEX($E$46:$AB$47,2,MATCH(Main!AC38,$E$46:$AB$46,0)))</f>
        <v/>
      </c>
      <c r="AD38" s="21" t="str">
        <f>IF(OR(Main!AD38="",Main!AD38=0),"",INDEX($E$46:$AB$47,2,MATCH(Main!AD38,$E$46:$AB$46,0)))</f>
        <v/>
      </c>
      <c r="AE38" s="21" t="str">
        <f>IF(OR(Main!AE38="",Main!AE38=0),"",INDEX($E$46:$AB$47,2,MATCH(Main!AE38,$E$46:$AB$46,0)))</f>
        <v/>
      </c>
      <c r="AF38" s="21" t="str">
        <f>IF(OR(Main!AF38="",Main!AF38=0),"",INDEX($E$46:$AB$47,2,MATCH(Main!AF38,$E$46:$AB$46,0)))</f>
        <v/>
      </c>
      <c r="AG38" s="21" t="str">
        <f>IF(OR(Main!AG38="",Main!AG38=0),"",INDEX($E$46:$AB$47,2,MATCH(Main!AG38,$E$46:$AB$46,0)))</f>
        <v/>
      </c>
      <c r="AH38" s="21" t="str">
        <f>IF(OR(Main!AH38="",Main!AH38=0),"",INDEX($E$46:$AB$47,2,MATCH(Main!AH38,$E$46:$AB$46,0)))</f>
        <v/>
      </c>
      <c r="AI38" s="21" t="str">
        <f>IF(OR(Main!AI38="",Main!AI38=0),"",INDEX($E$46:$AB$47,2,MATCH(Main!AI38,$E$46:$AB$46,0)))</f>
        <v/>
      </c>
      <c r="AJ38" s="21"/>
      <c r="AK38" s="21"/>
      <c r="AL38" s="20"/>
      <c r="AM38" s="20"/>
      <c r="AN38" s="20"/>
      <c r="AO38" s="46"/>
      <c r="AP38" s="20">
        <f t="shared" si="0"/>
        <v>0</v>
      </c>
      <c r="AQ38" s="22"/>
      <c r="AR38" s="20"/>
      <c r="AS38" s="46"/>
      <c r="AT38" s="22" t="str">
        <f>IF(Main!AS38="","",$AJ$49)</f>
        <v/>
      </c>
      <c r="AU38" s="20" t="str">
        <f>IF(Main!AS38="","",$AK$49)</f>
        <v/>
      </c>
    </row>
    <row r="39" spans="1:47" ht="14.25" customHeight="1" x14ac:dyDescent="0.2">
      <c r="A39" s="28"/>
      <c r="B39" s="29"/>
      <c r="C39" s="29"/>
      <c r="D39" s="32"/>
      <c r="E39" s="21" t="str">
        <f>IF(OR(Main!E39="",Main!E39=0),"",INDEX($E$46:$AB$47,2,MATCH(Main!E39,$E$46:$AB$46,0)))</f>
        <v/>
      </c>
      <c r="F39" s="21" t="str">
        <f>IF(OR(Main!F39="",Main!F39=0),"",INDEX($E$46:$AB$47,2,MATCH(Main!F39,$E$46:$AB$46,0)))</f>
        <v/>
      </c>
      <c r="G39" s="21" t="str">
        <f>IF(OR(Main!G39="",Main!G39=0),"",INDEX($E$46:$AB$47,2,MATCH(Main!G39,$E$46:$AB$46,0)))</f>
        <v/>
      </c>
      <c r="H39" s="21" t="str">
        <f>IF(OR(Main!H39="",Main!H39=0),"",INDEX($E$46:$AB$47,2,MATCH(Main!H39,$E$46:$AB$46,0)))</f>
        <v/>
      </c>
      <c r="I39" s="21" t="str">
        <f>IF(OR(Main!I39="",Main!I39=0),"",INDEX($E$46:$AB$47,2,MATCH(Main!I39,$E$46:$AB$46,0)))</f>
        <v/>
      </c>
      <c r="J39" s="21" t="str">
        <f>IF(OR(Main!J39="",Main!J39=0),"",INDEX($E$46:$AB$47,2,MATCH(Main!J39,$E$46:$AB$46,0)))</f>
        <v/>
      </c>
      <c r="K39" s="21" t="str">
        <f>IF(OR(Main!K39="",Main!K39=0),"",INDEX($E$46:$AB$47,2,MATCH(Main!K39,$E$46:$AB$46,0)))</f>
        <v/>
      </c>
      <c r="L39" s="21" t="str">
        <f>IF(OR(Main!L39="",Main!L39=0),"",INDEX($E$46:$AB$47,2,MATCH(Main!L39,$E$46:$AB$46,0)))</f>
        <v/>
      </c>
      <c r="M39" s="21" t="str">
        <f>IF(OR(Main!M39="",Main!M39=0),"",INDEX($E$46:$AB$47,2,MATCH(Main!M39,$E$46:$AB$46,0)))</f>
        <v/>
      </c>
      <c r="N39" s="21" t="str">
        <f>IF(OR(Main!N39="",Main!N39=0),"",INDEX($E$46:$AB$47,2,MATCH(Main!N39,$E$46:$AB$46,0)))</f>
        <v/>
      </c>
      <c r="O39" s="21" t="str">
        <f>IF(OR(Main!O39="",Main!O39=0),"",INDEX($E$46:$AB$47,2,MATCH(Main!O39,$E$46:$AB$46,0)))</f>
        <v/>
      </c>
      <c r="P39" s="21" t="str">
        <f>IF(OR(Main!P39="",Main!P39=0),"",INDEX($E$46:$AB$47,2,MATCH(Main!P39,$E$46:$AB$46,0)))</f>
        <v/>
      </c>
      <c r="Q39" s="21" t="str">
        <f>IF(OR(Main!Q39="",Main!Q39=0),"",INDEX($E$46:$AB$47,2,MATCH(Main!Q39,$E$46:$AB$46,0)))</f>
        <v/>
      </c>
      <c r="R39" s="21" t="str">
        <f>IF(OR(Main!R39="",Main!R39=0),"",INDEX($E$46:$AB$47,2,MATCH(Main!R39,$E$46:$AB$46,0)))</f>
        <v/>
      </c>
      <c r="S39" s="21" t="str">
        <f>IF(OR(Main!S39="",Main!S39=0),"",INDEX($E$46:$AB$47,2,MATCH(Main!S39,$E$46:$AB$46,0)))</f>
        <v/>
      </c>
      <c r="T39" s="21" t="str">
        <f>IF(OR(Main!T39="",Main!T39=0),"",INDEX($E$46:$AB$47,2,MATCH(Main!T39,$E$46:$AB$46,0)))</f>
        <v/>
      </c>
      <c r="U39" s="21" t="str">
        <f>IF(OR(Main!U39="",Main!U39=0),"",INDEX($E$46:$AB$47,2,MATCH(Main!U39,$E$46:$AB$46,0)))</f>
        <v/>
      </c>
      <c r="V39" s="21" t="str">
        <f>IF(OR(Main!V39="",Main!V39=0),"",INDEX($E$46:$AB$47,2,MATCH(Main!V39,$E$46:$AB$46,0)))</f>
        <v/>
      </c>
      <c r="W39" s="21" t="str">
        <f>IF(OR(Main!W39="",Main!W39=0),"",INDEX($E$46:$AB$47,2,MATCH(Main!W39,$E$46:$AB$46,0)))</f>
        <v/>
      </c>
      <c r="X39" s="21" t="str">
        <f>IF(OR(Main!X39="",Main!X39=0),"",INDEX($E$46:$AB$47,2,MATCH(Main!X39,$E$46:$AB$46,0)))</f>
        <v/>
      </c>
      <c r="Y39" s="21" t="str">
        <f>IF(OR(Main!Y39="",Main!Y39=0),"",INDEX($E$46:$AB$47,2,MATCH(Main!Y39,$E$46:$AB$46,0)))</f>
        <v/>
      </c>
      <c r="Z39" s="21" t="str">
        <f>IF(OR(Main!Z39="",Main!Z39=0),"",INDEX($E$46:$AB$47,2,MATCH(Main!Z39,$E$46:$AB$46,0)))</f>
        <v/>
      </c>
      <c r="AA39" s="21" t="str">
        <f>IF(OR(Main!AA39="",Main!AA39=0),"",INDEX($E$46:$AB$47,2,MATCH(Main!AA39,$E$46:$AB$46,0)))</f>
        <v/>
      </c>
      <c r="AB39" s="21" t="str">
        <f>IF(OR(Main!AB39="",Main!AB39=0),"",INDEX($E$46:$AB$47,2,MATCH(Main!AB39,$E$46:$AB$46,0)))</f>
        <v/>
      </c>
      <c r="AC39" s="21" t="str">
        <f>IF(OR(Main!AC39="",Main!AC39=0),"",INDEX($E$46:$AB$47,2,MATCH(Main!AC39,$E$46:$AB$46,0)))</f>
        <v/>
      </c>
      <c r="AD39" s="21" t="str">
        <f>IF(OR(Main!AD39="",Main!AD39=0),"",INDEX($E$46:$AB$47,2,MATCH(Main!AD39,$E$46:$AB$46,0)))</f>
        <v/>
      </c>
      <c r="AE39" s="21" t="str">
        <f>IF(OR(Main!AE39="",Main!AE39=0),"",INDEX($E$46:$AB$47,2,MATCH(Main!AE39,$E$46:$AB$46,0)))</f>
        <v/>
      </c>
      <c r="AF39" s="21" t="str">
        <f>IF(OR(Main!AF39="",Main!AF39=0),"",INDEX($E$46:$AB$47,2,MATCH(Main!AF39,$E$46:$AB$46,0)))</f>
        <v/>
      </c>
      <c r="AG39" s="21" t="str">
        <f>IF(OR(Main!AG39="",Main!AG39=0),"",INDEX($E$46:$AB$47,2,MATCH(Main!AG39,$E$46:$AB$46,0)))</f>
        <v/>
      </c>
      <c r="AH39" s="21" t="str">
        <f>IF(OR(Main!AH39="",Main!AH39=0),"",INDEX($E$46:$AB$47,2,MATCH(Main!AH39,$E$46:$AB$46,0)))</f>
        <v/>
      </c>
      <c r="AI39" s="21" t="str">
        <f>IF(OR(Main!AI39="",Main!AI39=0),"",INDEX($E$46:$AB$47,2,MATCH(Main!AI39,$E$46:$AB$46,0)))</f>
        <v/>
      </c>
      <c r="AJ39" s="21"/>
      <c r="AK39" s="21"/>
      <c r="AL39" s="20"/>
      <c r="AM39" s="20"/>
      <c r="AN39" s="20"/>
      <c r="AO39" s="46"/>
      <c r="AP39" s="20">
        <f t="shared" si="0"/>
        <v>0</v>
      </c>
      <c r="AQ39" s="22"/>
      <c r="AR39" s="20"/>
      <c r="AS39" s="46"/>
      <c r="AT39" s="22" t="str">
        <f>IF(Main!AS39="","",$AJ$49)</f>
        <v/>
      </c>
      <c r="AU39" s="20" t="str">
        <f>IF(Main!AS39="","",$AK$49)</f>
        <v/>
      </c>
    </row>
    <row r="40" spans="1:47" ht="14.25" customHeight="1" x14ac:dyDescent="0.2">
      <c r="E40" s="33" t="s">
        <v>85</v>
      </c>
      <c r="F40" s="34" t="s">
        <v>86</v>
      </c>
      <c r="G40" s="34" t="s">
        <v>87</v>
      </c>
      <c r="H40" s="34" t="s">
        <v>88</v>
      </c>
      <c r="I40" s="34" t="s">
        <v>89</v>
      </c>
      <c r="J40" s="34" t="s">
        <v>90</v>
      </c>
      <c r="K40" s="33" t="s">
        <v>91</v>
      </c>
      <c r="L40" s="33" t="s">
        <v>85</v>
      </c>
      <c r="M40" s="34" t="s">
        <v>86</v>
      </c>
      <c r="N40" s="34" t="s">
        <v>87</v>
      </c>
      <c r="O40" s="34" t="s">
        <v>88</v>
      </c>
      <c r="P40" s="34" t="s">
        <v>89</v>
      </c>
      <c r="Q40" s="34" t="s">
        <v>90</v>
      </c>
      <c r="R40" s="33" t="s">
        <v>91</v>
      </c>
      <c r="S40" s="33" t="s">
        <v>85</v>
      </c>
      <c r="T40" s="34" t="s">
        <v>86</v>
      </c>
      <c r="U40" s="34" t="s">
        <v>87</v>
      </c>
      <c r="V40" s="34" t="s">
        <v>88</v>
      </c>
      <c r="W40" s="34" t="s">
        <v>89</v>
      </c>
      <c r="X40" s="34" t="s">
        <v>90</v>
      </c>
      <c r="Y40" s="33" t="s">
        <v>91</v>
      </c>
      <c r="Z40" s="33" t="s">
        <v>85</v>
      </c>
      <c r="AA40" s="34" t="s">
        <v>86</v>
      </c>
      <c r="AB40" s="34" t="s">
        <v>87</v>
      </c>
      <c r="AC40" s="34" t="s">
        <v>88</v>
      </c>
      <c r="AD40" s="34" t="s">
        <v>89</v>
      </c>
      <c r="AE40" s="34" t="s">
        <v>90</v>
      </c>
      <c r="AF40" s="33" t="s">
        <v>91</v>
      </c>
      <c r="AG40" s="33" t="s">
        <v>85</v>
      </c>
      <c r="AH40" s="34" t="s">
        <v>86</v>
      </c>
      <c r="AI40" s="34" t="s">
        <v>87</v>
      </c>
      <c r="AM40" s="35" t="s">
        <v>92</v>
      </c>
      <c r="AN40" s="22"/>
      <c r="AO40" s="22"/>
      <c r="AP40" s="22"/>
      <c r="AQ40" s="22"/>
      <c r="AR40" s="22">
        <f>SUM(AR13:AR34)</f>
        <v>0</v>
      </c>
      <c r="AS40" s="22"/>
      <c r="AT40" s="22">
        <f>SUM(AT13:AT34)</f>
        <v>323</v>
      </c>
      <c r="AU40" s="22"/>
    </row>
    <row r="41" spans="1:47" ht="14.25" customHeight="1" x14ac:dyDescent="0.2">
      <c r="A41" s="94" t="s">
        <v>93</v>
      </c>
      <c r="B41" s="85"/>
      <c r="C41" s="85"/>
      <c r="D41" s="36"/>
      <c r="E41" s="36"/>
      <c r="F41" s="37"/>
      <c r="G41" s="37"/>
      <c r="H41" s="37"/>
      <c r="I41" s="36"/>
      <c r="J41" s="36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M41" s="35" t="s">
        <v>94</v>
      </c>
      <c r="AN41" s="38"/>
      <c r="AO41" s="22"/>
      <c r="AP41" s="22"/>
      <c r="AQ41" s="22"/>
      <c r="AR41" s="22"/>
      <c r="AS41" s="22">
        <f>SUM(AS13:AS34)</f>
        <v>0</v>
      </c>
      <c r="AT41" s="22"/>
      <c r="AU41" s="22">
        <f>SUM(AU13:AU34)</f>
        <v>2584</v>
      </c>
    </row>
    <row r="42" spans="1:47" s="2" customFormat="1" ht="12.75" customHeight="1" x14ac:dyDescent="0.2">
      <c r="D42" s="99" t="s">
        <v>95</v>
      </c>
      <c r="E42" s="85"/>
      <c r="F42" s="100" t="s">
        <v>96</v>
      </c>
      <c r="G42" s="82"/>
      <c r="H42" s="82"/>
      <c r="I42" s="82"/>
      <c r="J42" s="89" t="s">
        <v>97</v>
      </c>
      <c r="K42" s="85"/>
      <c r="L42" s="85"/>
      <c r="M42" s="85"/>
      <c r="N42" s="85"/>
      <c r="O42" s="85"/>
      <c r="AL42" s="94"/>
      <c r="AM42" s="85"/>
      <c r="AN42" s="85"/>
      <c r="AO42" s="85"/>
      <c r="AP42" s="85"/>
      <c r="AQ42" s="9"/>
      <c r="AR42" s="9"/>
      <c r="AS42" s="9"/>
      <c r="AT42" s="39"/>
      <c r="AU42" s="40"/>
    </row>
    <row r="43" spans="1:47" ht="14.25" customHeight="1" x14ac:dyDescent="0.2">
      <c r="A43" s="2" t="s">
        <v>98</v>
      </c>
      <c r="E43" s="21" t="s">
        <v>99</v>
      </c>
      <c r="F43" s="21" t="str">
        <f>Main!F43</f>
        <v>Р</v>
      </c>
      <c r="G43" s="21" t="str">
        <f>Main!G43</f>
        <v>Р</v>
      </c>
      <c r="H43" s="21" t="str">
        <f>Main!H43</f>
        <v>Р</v>
      </c>
      <c r="I43" s="21" t="str">
        <f>Main!I43</f>
        <v>Р</v>
      </c>
      <c r="J43" s="21" t="str">
        <f>Main!J43</f>
        <v>Р</v>
      </c>
      <c r="K43" s="21" t="str">
        <f>Main!K43</f>
        <v>В</v>
      </c>
      <c r="L43" s="21" t="str">
        <f>Main!L43</f>
        <v>В</v>
      </c>
      <c r="M43" s="21" t="str">
        <f>Main!M43</f>
        <v>Р</v>
      </c>
      <c r="N43" s="21" t="str">
        <f>Main!N43</f>
        <v>Р</v>
      </c>
      <c r="O43" s="21" t="str">
        <f>Main!O43</f>
        <v>Р</v>
      </c>
      <c r="P43" s="21" t="str">
        <f>Main!P43</f>
        <v>Р</v>
      </c>
      <c r="Q43" s="21" t="str">
        <f>Main!Q43</f>
        <v>Р</v>
      </c>
      <c r="R43" s="21" t="str">
        <f>Main!R43</f>
        <v>В</v>
      </c>
      <c r="S43" s="21" t="str">
        <f>Main!S43</f>
        <v>В</v>
      </c>
      <c r="T43" s="21" t="str">
        <f>Main!T43</f>
        <v>Р</v>
      </c>
      <c r="U43" s="21" t="str">
        <f>Main!U43</f>
        <v>Р</v>
      </c>
      <c r="V43" s="21" t="str">
        <f>Main!V43</f>
        <v>Р</v>
      </c>
      <c r="W43" s="21" t="str">
        <f>Main!W43</f>
        <v>Р</v>
      </c>
      <c r="X43" s="21" t="str">
        <f>Main!X43</f>
        <v>Р</v>
      </c>
      <c r="Y43" s="21" t="str">
        <f>Main!Y43</f>
        <v>В</v>
      </c>
      <c r="Z43" s="21" t="str">
        <f>Main!Z43</f>
        <v>В</v>
      </c>
      <c r="AA43" s="21" t="str">
        <f>Main!AA43</f>
        <v>В</v>
      </c>
      <c r="AB43" s="21" t="str">
        <f>Main!AB43</f>
        <v>Р</v>
      </c>
      <c r="AC43" s="21" t="str">
        <f>Main!AC43</f>
        <v>Р</v>
      </c>
      <c r="AD43" s="21" t="str">
        <f>Main!AD43</f>
        <v>Р</v>
      </c>
      <c r="AE43" s="21" t="str">
        <f>Main!AE43</f>
        <v>Р</v>
      </c>
      <c r="AF43" s="21" t="str">
        <f>Main!AF43</f>
        <v>В</v>
      </c>
      <c r="AG43" s="21" t="str">
        <f>Main!AG43</f>
        <v>х</v>
      </c>
      <c r="AH43" s="21" t="str">
        <f>Main!AH43</f>
        <v>х</v>
      </c>
      <c r="AI43" s="21" t="str">
        <f>Main!AI43</f>
        <v>х</v>
      </c>
    </row>
    <row r="44" spans="1:47" ht="14.25" customHeight="1" x14ac:dyDescent="0.2">
      <c r="E44" s="42">
        <v>1</v>
      </c>
      <c r="F44" s="42">
        <v>2</v>
      </c>
      <c r="G44" s="42">
        <v>3</v>
      </c>
      <c r="H44" s="42">
        <v>4</v>
      </c>
      <c r="I44" s="42">
        <v>5</v>
      </c>
      <c r="J44" s="42">
        <v>6</v>
      </c>
      <c r="K44" s="42">
        <v>7</v>
      </c>
      <c r="L44" s="42">
        <v>8</v>
      </c>
      <c r="M44" s="42">
        <v>9</v>
      </c>
      <c r="N44" s="42">
        <v>10</v>
      </c>
      <c r="O44" s="42">
        <v>11</v>
      </c>
      <c r="P44" s="42">
        <v>12</v>
      </c>
      <c r="Q44" s="42">
        <v>13</v>
      </c>
      <c r="R44" s="42">
        <v>14</v>
      </c>
      <c r="S44" s="42">
        <v>15</v>
      </c>
      <c r="T44" s="42">
        <v>16</v>
      </c>
      <c r="U44" s="42">
        <v>17</v>
      </c>
      <c r="V44" s="42">
        <v>18</v>
      </c>
      <c r="W44" s="42">
        <v>19</v>
      </c>
      <c r="X44" s="42">
        <v>20</v>
      </c>
      <c r="Y44" s="42">
        <v>21</v>
      </c>
      <c r="Z44" s="42">
        <v>22</v>
      </c>
      <c r="AA44" s="42">
        <v>23</v>
      </c>
      <c r="AB44" s="42">
        <v>24</v>
      </c>
      <c r="AC44" s="42">
        <v>25</v>
      </c>
      <c r="AD44" s="42">
        <v>26</v>
      </c>
      <c r="AE44" s="42">
        <v>27</v>
      </c>
      <c r="AF44" s="42">
        <v>28</v>
      </c>
      <c r="AG44" s="42">
        <v>29</v>
      </c>
      <c r="AH44" s="42">
        <v>30</v>
      </c>
      <c r="AI44" s="42">
        <v>31</v>
      </c>
    </row>
    <row r="45" spans="1:47" ht="12.75" customHeight="1" x14ac:dyDescent="0.2"/>
    <row r="46" spans="1:47" ht="14.25" customHeight="1" x14ac:dyDescent="0.2">
      <c r="D46" s="4" t="s">
        <v>125</v>
      </c>
      <c r="E46" s="47">
        <v>8</v>
      </c>
      <c r="F46" s="47">
        <v>7</v>
      </c>
      <c r="G46" s="47">
        <v>4</v>
      </c>
      <c r="H46" s="47">
        <v>12</v>
      </c>
      <c r="I46" s="47" t="s">
        <v>103</v>
      </c>
      <c r="J46" s="47" t="s">
        <v>104</v>
      </c>
      <c r="K46" s="47" t="s">
        <v>105</v>
      </c>
      <c r="L46" s="47" t="s">
        <v>106</v>
      </c>
      <c r="M46" s="47" t="s">
        <v>107</v>
      </c>
      <c r="N46" s="47" t="s">
        <v>108</v>
      </c>
      <c r="O46" s="47" t="s">
        <v>109</v>
      </c>
      <c r="P46" s="47">
        <v>11</v>
      </c>
      <c r="Q46" s="47" t="s">
        <v>110</v>
      </c>
      <c r="R46" s="47" t="s">
        <v>111</v>
      </c>
      <c r="S46" s="47" t="s">
        <v>112</v>
      </c>
      <c r="T46" s="47" t="s">
        <v>102</v>
      </c>
      <c r="U46" s="47">
        <v>6</v>
      </c>
      <c r="V46" s="47">
        <v>5</v>
      </c>
      <c r="W46" s="47">
        <v>3</v>
      </c>
      <c r="X46" s="47">
        <v>2</v>
      </c>
      <c r="Y46" s="47">
        <v>1</v>
      </c>
      <c r="Z46" s="47">
        <v>9</v>
      </c>
      <c r="AA46" s="47">
        <v>10</v>
      </c>
      <c r="AB46" s="47">
        <v>11</v>
      </c>
      <c r="AF46" s="43" t="s">
        <v>102</v>
      </c>
      <c r="AG46" s="44" t="s">
        <v>101</v>
      </c>
      <c r="AH46" s="45" t="s">
        <v>99</v>
      </c>
      <c r="AI46" s="44" t="s">
        <v>100</v>
      </c>
    </row>
    <row r="47" spans="1:47" ht="13.5" customHeight="1" x14ac:dyDescent="0.2">
      <c r="D47" s="4" t="s">
        <v>127</v>
      </c>
      <c r="E47" s="42">
        <v>0</v>
      </c>
      <c r="F47" s="42">
        <v>0</v>
      </c>
      <c r="G47" s="42">
        <v>0</v>
      </c>
      <c r="H47" s="42">
        <v>0</v>
      </c>
      <c r="I47" s="42">
        <v>3.5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8</v>
      </c>
      <c r="R47" s="42">
        <v>6</v>
      </c>
      <c r="S47" s="42">
        <v>2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</row>
    <row r="48" spans="1:47" ht="13.5" customHeight="1" x14ac:dyDescent="0.2"/>
    <row r="49" spans="5:37" x14ac:dyDescent="0.2">
      <c r="E49" s="2">
        <f t="shared" ref="E49:AI49" si="1">IF(E43="В",0,IF(E43="Р",8,IF(E43="Р*",7,IF(E43="х",0))))</f>
        <v>0</v>
      </c>
      <c r="F49" s="2">
        <f t="shared" si="1"/>
        <v>8</v>
      </c>
      <c r="G49" s="2">
        <f t="shared" si="1"/>
        <v>8</v>
      </c>
      <c r="H49" s="2">
        <f t="shared" si="1"/>
        <v>8</v>
      </c>
      <c r="I49" s="2">
        <f t="shared" si="1"/>
        <v>8</v>
      </c>
      <c r="J49" s="2">
        <f t="shared" si="1"/>
        <v>8</v>
      </c>
      <c r="K49" s="2">
        <f t="shared" si="1"/>
        <v>0</v>
      </c>
      <c r="L49" s="2">
        <f t="shared" si="1"/>
        <v>0</v>
      </c>
      <c r="M49" s="2">
        <f t="shared" si="1"/>
        <v>8</v>
      </c>
      <c r="N49" s="2">
        <f t="shared" si="1"/>
        <v>8</v>
      </c>
      <c r="O49" s="2">
        <f t="shared" si="1"/>
        <v>8</v>
      </c>
      <c r="P49" s="2">
        <f t="shared" si="1"/>
        <v>8</v>
      </c>
      <c r="Q49" s="2">
        <f t="shared" si="1"/>
        <v>8</v>
      </c>
      <c r="R49" s="2">
        <f t="shared" si="1"/>
        <v>0</v>
      </c>
      <c r="S49" s="2">
        <f t="shared" si="1"/>
        <v>0</v>
      </c>
      <c r="T49" s="2">
        <f t="shared" si="1"/>
        <v>8</v>
      </c>
      <c r="U49" s="2">
        <f t="shared" si="1"/>
        <v>8</v>
      </c>
      <c r="V49" s="2">
        <f t="shared" si="1"/>
        <v>8</v>
      </c>
      <c r="W49" s="2">
        <f t="shared" si="1"/>
        <v>8</v>
      </c>
      <c r="X49" s="2">
        <f t="shared" si="1"/>
        <v>8</v>
      </c>
      <c r="Y49" s="2">
        <f t="shared" si="1"/>
        <v>0</v>
      </c>
      <c r="Z49" s="2">
        <f t="shared" si="1"/>
        <v>0</v>
      </c>
      <c r="AA49" s="2">
        <f t="shared" si="1"/>
        <v>0</v>
      </c>
      <c r="AB49" s="2">
        <f t="shared" si="1"/>
        <v>8</v>
      </c>
      <c r="AC49" s="2">
        <f t="shared" si="1"/>
        <v>8</v>
      </c>
      <c r="AD49" s="2">
        <f t="shared" si="1"/>
        <v>8</v>
      </c>
      <c r="AE49" s="2">
        <f t="shared" si="1"/>
        <v>8</v>
      </c>
      <c r="AF49" s="2">
        <f t="shared" si="1"/>
        <v>0</v>
      </c>
      <c r="AG49" s="2">
        <f t="shared" si="1"/>
        <v>0</v>
      </c>
      <c r="AH49" s="2">
        <f t="shared" si="1"/>
        <v>0</v>
      </c>
      <c r="AI49" s="2">
        <f t="shared" si="1"/>
        <v>0</v>
      </c>
      <c r="AJ49" s="2">
        <f>COUNTIF(E49:AI49,"&gt;0")</f>
        <v>19</v>
      </c>
      <c r="AK49" s="2">
        <f>SUM(E49:AI49)</f>
        <v>152</v>
      </c>
    </row>
    <row r="1048560" ht="12.75" customHeight="1" x14ac:dyDescent="0.2"/>
  </sheetData>
  <mergeCells count="26">
    <mergeCell ref="AL42:AP42"/>
    <mergeCell ref="E11:AI11"/>
    <mergeCell ref="B12:D12"/>
    <mergeCell ref="B30:D30"/>
    <mergeCell ref="A41:C41"/>
    <mergeCell ref="D42:E42"/>
    <mergeCell ref="F42:I42"/>
    <mergeCell ref="J42:O42"/>
    <mergeCell ref="A5:AT5"/>
    <mergeCell ref="AU5:AU6"/>
    <mergeCell ref="A6:AT6"/>
    <mergeCell ref="A7:AT7"/>
    <mergeCell ref="A8:A10"/>
    <mergeCell ref="B8:B10"/>
    <mergeCell ref="C8:C10"/>
    <mergeCell ref="D8:D10"/>
    <mergeCell ref="E8:AI8"/>
    <mergeCell ref="AJ8:AU8"/>
    <mergeCell ref="AJ9:AQ9"/>
    <mergeCell ref="AR9:AS9"/>
    <mergeCell ref="AT9:AU9"/>
    <mergeCell ref="C1:T1"/>
    <mergeCell ref="C2:T2"/>
    <mergeCell ref="C3:T3"/>
    <mergeCell ref="X3:AF3"/>
    <mergeCell ref="C4:U4"/>
  </mergeCells>
  <pageMargins left="0.66805555555555562" right="0.25902777777777808" top="0.39375000000000004" bottom="0.39375000000000004" header="0.51181102362204689" footer="0.51181102362204689"/>
  <pageSetup paperSize="9" scale="72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xr:uid="{00000000-0002-0000-0200-000000000000}">
          <x14:formula1>
            <xm:f>Main!$E$46:$AB$46</xm:f>
          </x14:formula1>
          <xm:sqref>E13:AI39</xm:sqref>
        </x14:dataValidation>
        <x14:dataValidation type="list" xr:uid="{00000000-0002-0000-0200-000001000000}">
          <x14:formula1>
            <xm:f>Main!$AF$46:$AI$46</xm:f>
          </x14:formula1>
          <xm:sqref>E43:AI43</xm:sqref>
        </x14:dataValidation>
        <x14:dataValidation type="list" xr:uid="{00000000-0002-0000-0200-000002000000}">
          <x14:formula1>
            <xm:f>Main!$E$48:$AB$48</xm:f>
          </x14:formula1>
          <xm:sqref>E13:AI39</xm:sqref>
        </x14:dataValidation>
        <x14:dataValidation type="list" xr:uid="{00000000-0002-0000-0200-000003000000}">
          <x14:formula1>
            <xm:f>Main!$AF$48:$AI$48</xm:f>
          </x14:formula1>
          <xm:sqref>E43:AI43</xm:sqref>
        </x14:dataValidation>
        <x14:dataValidation type="list" allowBlank="1" xr:uid="{00000000-0002-0000-0200-000004000000}">
          <x14:formula1>
            <xm:f>Main!$E$48:$AB$48</xm:f>
          </x14:formula1>
          <xm:sqref>E13:AI39</xm:sqref>
        </x14:dataValidation>
        <x14:dataValidation type="list" allowBlank="1" xr:uid="{00000000-0002-0000-0200-000005000000}">
          <x14:formula1>
            <xm:f>Main!$AF$48:$AI$48</xm:f>
          </x14:formula1>
          <xm:sqref>E43:AI43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MJ40"/>
  <sheetViews>
    <sheetView showGridLines="0" workbookViewId="0">
      <pane ySplit="7" topLeftCell="A8" activePane="bottomLeft" state="frozen"/>
      <selection pane="bottomLeft" activeCell="G14" sqref="G14:AL14"/>
    </sheetView>
  </sheetViews>
  <sheetFormatPr defaultColWidth="12.42578125" defaultRowHeight="12.75" x14ac:dyDescent="0.2"/>
  <cols>
    <col min="1" max="5" width="1.85546875" style="48" customWidth="1"/>
    <col min="6" max="6" width="3.285156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80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80" ht="25.5" customHeight="1" x14ac:dyDescent="0.2">
      <c r="A2" s="102" t="s">
        <v>130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80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80" ht="15.75" customHeight="1" x14ac:dyDescent="0.3">
      <c r="A5" s="107" t="s">
        <v>132</v>
      </c>
      <c r="B5" s="104"/>
      <c r="C5" s="104"/>
      <c r="D5" s="104"/>
      <c r="E5" s="104"/>
      <c r="F5" s="108" t="s">
        <v>61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134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80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80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140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80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142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4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80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144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/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  <c r="CA10" s="48" t="s">
        <v>99</v>
      </c>
      <c r="CB10" s="48" t="s">
        <v>99</v>
      </c>
    </row>
    <row r="11" spans="1:80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140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80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140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80" ht="17.25" customHeight="1" x14ac:dyDescent="0.2">
      <c r="A13" s="117" t="s">
        <v>147</v>
      </c>
      <c r="B13" s="118"/>
      <c r="C13" s="118"/>
      <c r="D13" s="118"/>
      <c r="E13" s="118"/>
      <c r="F13" s="119"/>
      <c r="G13" s="120" t="s">
        <v>148</v>
      </c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>
        <v>7</v>
      </c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 t="s">
        <v>149</v>
      </c>
    </row>
    <row r="14" spans="1:80" ht="17.25" customHeight="1" x14ac:dyDescent="0.2">
      <c r="A14" s="117" t="s">
        <v>150</v>
      </c>
      <c r="B14" s="118"/>
      <c r="C14" s="118"/>
      <c r="D14" s="118"/>
      <c r="E14" s="118"/>
      <c r="F14" s="119"/>
      <c r="G14" s="120" t="s">
        <v>148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>
        <v>7</v>
      </c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 t="s">
        <v>149</v>
      </c>
    </row>
    <row r="15" spans="1:80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50"/>
    </row>
    <row r="16" spans="1:80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50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3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42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14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0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7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40:F40"/>
    <mergeCell ref="G40:AL40"/>
    <mergeCell ref="AM40:AU40"/>
    <mergeCell ref="AV40:AZ40"/>
    <mergeCell ref="A37:F37"/>
    <mergeCell ref="G37:AL37"/>
    <mergeCell ref="AM37:AU37"/>
    <mergeCell ref="AV37:AZ37"/>
    <mergeCell ref="A38:F38"/>
    <mergeCell ref="G38:AL38"/>
    <mergeCell ref="AM38:AU38"/>
    <mergeCell ref="AV38:AZ38"/>
    <mergeCell ref="A39:F39"/>
    <mergeCell ref="G39:AL39"/>
    <mergeCell ref="AM39:AU39"/>
    <mergeCell ref="AV39:AZ39"/>
    <mergeCell ref="A34:F34"/>
    <mergeCell ref="G34:AL34"/>
    <mergeCell ref="AM34:AU34"/>
    <mergeCell ref="AV34:AZ34"/>
    <mergeCell ref="A35:F35"/>
    <mergeCell ref="G35:AL35"/>
    <mergeCell ref="AM35:AU35"/>
    <mergeCell ref="AV35:AZ35"/>
    <mergeCell ref="A36:F36"/>
    <mergeCell ref="G36:AL36"/>
    <mergeCell ref="AM36:AU36"/>
    <mergeCell ref="AV36:AZ36"/>
    <mergeCell ref="A31:F31"/>
    <mergeCell ref="G31:AL31"/>
    <mergeCell ref="AM31:AU31"/>
    <mergeCell ref="AV31:AZ31"/>
    <mergeCell ref="A32:F32"/>
    <mergeCell ref="G32:AL32"/>
    <mergeCell ref="AM32:AU32"/>
    <mergeCell ref="AV32:AZ32"/>
    <mergeCell ref="A33:F33"/>
    <mergeCell ref="G33:AL33"/>
    <mergeCell ref="AM33:AU33"/>
    <mergeCell ref="AV33:AZ33"/>
    <mergeCell ref="A28:F28"/>
    <mergeCell ref="G28:AL28"/>
    <mergeCell ref="AM28:AU28"/>
    <mergeCell ref="AV28:AZ28"/>
    <mergeCell ref="A29:F29"/>
    <mergeCell ref="G29:AL29"/>
    <mergeCell ref="AM29:AU29"/>
    <mergeCell ref="AV29:AZ29"/>
    <mergeCell ref="A30:F30"/>
    <mergeCell ref="G30:AL30"/>
    <mergeCell ref="AM30:AU30"/>
    <mergeCell ref="AV30:AZ30"/>
    <mergeCell ref="A25:F25"/>
    <mergeCell ref="G25:AL25"/>
    <mergeCell ref="AM25:AU25"/>
    <mergeCell ref="AV25:AZ25"/>
    <mergeCell ref="A26:F26"/>
    <mergeCell ref="G26:AL26"/>
    <mergeCell ref="AM26:AU26"/>
    <mergeCell ref="AV26:AZ26"/>
    <mergeCell ref="A27:F27"/>
    <mergeCell ref="G27:AL27"/>
    <mergeCell ref="AM27:AU27"/>
    <mergeCell ref="AV27:AZ27"/>
    <mergeCell ref="A22:F22"/>
    <mergeCell ref="G22:AL22"/>
    <mergeCell ref="AM22:AU22"/>
    <mergeCell ref="AV22:AZ22"/>
    <mergeCell ref="A23:F23"/>
    <mergeCell ref="G23:AL23"/>
    <mergeCell ref="AM23:AU23"/>
    <mergeCell ref="AV23:AZ23"/>
    <mergeCell ref="A24:F24"/>
    <mergeCell ref="G24:AL24"/>
    <mergeCell ref="AM24:AU24"/>
    <mergeCell ref="AV24:AZ24"/>
    <mergeCell ref="A19:F19"/>
    <mergeCell ref="G19:AL19"/>
    <mergeCell ref="AM19:AU19"/>
    <mergeCell ref="AV19:AZ19"/>
    <mergeCell ref="A20:F20"/>
    <mergeCell ref="G20:AL20"/>
    <mergeCell ref="AM20:AU20"/>
    <mergeCell ref="AV20:AZ20"/>
    <mergeCell ref="A21:F21"/>
    <mergeCell ref="G21:AL21"/>
    <mergeCell ref="AM21:AU21"/>
    <mergeCell ref="AV21:AZ21"/>
    <mergeCell ref="A16:F16"/>
    <mergeCell ref="G16:AL16"/>
    <mergeCell ref="AM16:AU16"/>
    <mergeCell ref="AV16:AZ16"/>
    <mergeCell ref="A17:F17"/>
    <mergeCell ref="G17:AL17"/>
    <mergeCell ref="AM17:AU17"/>
    <mergeCell ref="AV17:AZ17"/>
    <mergeCell ref="A18:F18"/>
    <mergeCell ref="G18:AL18"/>
    <mergeCell ref="AM18:AU18"/>
    <mergeCell ref="AV18:AZ18"/>
    <mergeCell ref="A13:F13"/>
    <mergeCell ref="G13:AL13"/>
    <mergeCell ref="AM13:AU13"/>
    <mergeCell ref="AV13:AZ13"/>
    <mergeCell ref="A14:F14"/>
    <mergeCell ref="G14:AL14"/>
    <mergeCell ref="AM14:AU14"/>
    <mergeCell ref="AV14:AZ14"/>
    <mergeCell ref="A15:F15"/>
    <mergeCell ref="G15:AL15"/>
    <mergeCell ref="AM15:AU15"/>
    <mergeCell ref="AV15:AZ15"/>
    <mergeCell ref="A10:F10"/>
    <mergeCell ref="G10:AL10"/>
    <mergeCell ref="AM10:AU10"/>
    <mergeCell ref="AV10:AZ10"/>
    <mergeCell ref="A11:F11"/>
    <mergeCell ref="G11:AL11"/>
    <mergeCell ref="AM11:AU11"/>
    <mergeCell ref="AV11:AZ11"/>
    <mergeCell ref="A12:F12"/>
    <mergeCell ref="G12:AL12"/>
    <mergeCell ref="AM12:AU12"/>
    <mergeCell ref="AV12:AZ12"/>
    <mergeCell ref="A7:F7"/>
    <mergeCell ref="G7:AL7"/>
    <mergeCell ref="AM7:AU7"/>
    <mergeCell ref="AV7:AZ7"/>
    <mergeCell ref="A8:F8"/>
    <mergeCell ref="G8:AL8"/>
    <mergeCell ref="AM8:AU8"/>
    <mergeCell ref="AV8:AZ8"/>
    <mergeCell ref="A9:F9"/>
    <mergeCell ref="G9:AL9"/>
    <mergeCell ref="AM9:AU9"/>
    <mergeCell ref="AV9:AZ9"/>
    <mergeCell ref="A1:R1"/>
    <mergeCell ref="AE1:AZ1"/>
    <mergeCell ref="A2:R2"/>
    <mergeCell ref="AE2:AZ2"/>
    <mergeCell ref="A3:AZ3"/>
    <mergeCell ref="A5:E5"/>
    <mergeCell ref="F5:Z5"/>
    <mergeCell ref="AA5:AH5"/>
    <mergeCell ref="AI5:AZ5"/>
  </mergeCells>
  <pageMargins left="0.39375000000000004" right="0.39375000000000004" top="0.39375000000000004" bottom="0.39375000000000004" header="0.51181102362204689" footer="0.51181102362204689"/>
  <pageSetup paperSize="9" scale="94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MJ40"/>
  <sheetViews>
    <sheetView showGridLines="0" workbookViewId="0">
      <pane ySplit="7" topLeftCell="A8" activePane="bottomLeft" state="frozen"/>
      <selection pane="bottomLeft" activeCell="G13" sqref="G13:AL13"/>
    </sheetView>
  </sheetViews>
  <sheetFormatPr defaultColWidth="12.42578125" defaultRowHeight="12.75" x14ac:dyDescent="0.2"/>
  <cols>
    <col min="1" max="5" width="1.85546875" style="48" customWidth="1"/>
    <col min="6" max="6" width="3.425781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155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63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134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156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156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156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156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156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 t="s">
        <v>147</v>
      </c>
      <c r="B13" s="118"/>
      <c r="C13" s="118"/>
      <c r="D13" s="118"/>
      <c r="E13" s="118"/>
      <c r="F13" s="119"/>
      <c r="G13" s="120" t="s">
        <v>237</v>
      </c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>
        <v>7</v>
      </c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 t="s">
        <v>149</v>
      </c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49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3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47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7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7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7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MJ40"/>
  <sheetViews>
    <sheetView showGridLines="0" workbookViewId="0">
      <pane ySplit="7" topLeftCell="A8" activePane="bottomLeft" state="frozen"/>
      <selection pane="bottomLeft" sqref="A1:R1"/>
    </sheetView>
  </sheetViews>
  <sheetFormatPr defaultColWidth="12.42578125" defaultRowHeight="12.75" x14ac:dyDescent="0.2"/>
  <cols>
    <col min="1" max="5" width="1.85546875" style="48" customWidth="1"/>
    <col min="6" max="6" width="3.1406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64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62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158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/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158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/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158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/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50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/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50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/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50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50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50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50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50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50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0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0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  <c r="BA36" s="4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  <c r="BA37" s="4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7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7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J40"/>
  <sheetViews>
    <sheetView showGridLines="0" workbookViewId="0">
      <pane ySplit="7" topLeftCell="A8" activePane="bottomLeft" state="frozen"/>
      <selection pane="bottomLeft" activeCell="A10" sqref="A10:AU12"/>
    </sheetView>
  </sheetViews>
  <sheetFormatPr defaultColWidth="12.42578125" defaultRowHeight="12.75" x14ac:dyDescent="0.2"/>
  <cols>
    <col min="1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159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160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83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29" t="s">
        <v>161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162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163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50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163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4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163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238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50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50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6.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50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0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36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8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4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MJ40"/>
  <sheetViews>
    <sheetView showGridLines="0" workbookViewId="0">
      <pane ySplit="7" topLeftCell="A8" activePane="bottomLeft" state="frozen"/>
      <selection pane="bottomLeft" activeCell="G14" sqref="G14:AL14"/>
    </sheetView>
  </sheetViews>
  <sheetFormatPr defaultColWidth="12.42578125" defaultRowHeight="12.75" x14ac:dyDescent="0.2"/>
  <cols>
    <col min="1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164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65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29" t="s">
        <v>161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165</v>
      </c>
      <c r="B8" s="118"/>
      <c r="C8" s="118"/>
      <c r="D8" s="118"/>
      <c r="E8" s="118"/>
      <c r="F8" s="119"/>
      <c r="G8" s="120" t="s">
        <v>148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7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 t="s">
        <v>149</v>
      </c>
    </row>
    <row r="9" spans="1:53" ht="17.25" customHeight="1" x14ac:dyDescent="0.2">
      <c r="A9" s="117" t="s">
        <v>139</v>
      </c>
      <c r="B9" s="118"/>
      <c r="C9" s="118"/>
      <c r="D9" s="118"/>
      <c r="E9" s="118"/>
      <c r="F9" s="119"/>
      <c r="G9" s="120" t="s">
        <v>144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/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50"/>
    </row>
    <row r="10" spans="1:53" ht="17.25" customHeight="1" x14ac:dyDescent="0.2">
      <c r="A10" s="117" t="s">
        <v>141</v>
      </c>
      <c r="B10" s="118"/>
      <c r="C10" s="118"/>
      <c r="D10" s="118"/>
      <c r="E10" s="118"/>
      <c r="F10" s="119"/>
      <c r="G10" s="120" t="s">
        <v>163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143</v>
      </c>
      <c r="B11" s="118"/>
      <c r="C11" s="118"/>
      <c r="D11" s="118"/>
      <c r="E11" s="118"/>
      <c r="F11" s="119"/>
      <c r="G11" s="120" t="s">
        <v>166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53" ht="17.25" customHeight="1" x14ac:dyDescent="0.2">
      <c r="A12" s="117" t="s">
        <v>145</v>
      </c>
      <c r="B12" s="118"/>
      <c r="C12" s="118"/>
      <c r="D12" s="118"/>
      <c r="E12" s="118"/>
      <c r="F12" s="119"/>
      <c r="G12" s="120" t="s">
        <v>239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 t="s">
        <v>146</v>
      </c>
      <c r="B13" s="118"/>
      <c r="C13" s="118"/>
      <c r="D13" s="118"/>
      <c r="E13" s="118"/>
      <c r="F13" s="119"/>
      <c r="G13" s="120" t="s">
        <v>240</v>
      </c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>
        <v>8</v>
      </c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50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50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6.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50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0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39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7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8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4" orientation="portrait" useFirstPageNumber="1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MJ40"/>
  <sheetViews>
    <sheetView showGridLines="0" workbookViewId="0">
      <selection activeCell="G12" sqref="G12:AU13"/>
    </sheetView>
  </sheetViews>
  <sheetFormatPr defaultColWidth="12.42578125" defaultRowHeight="12.75" x14ac:dyDescent="0.2"/>
  <cols>
    <col min="1" max="5" width="1.85546875" style="48" customWidth="1"/>
    <col min="6" max="6" width="3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167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67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134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165</v>
      </c>
      <c r="B8" s="118"/>
      <c r="C8" s="118"/>
      <c r="D8" s="118"/>
      <c r="E8" s="118"/>
      <c r="F8" s="119"/>
      <c r="G8" s="120" t="s">
        <v>148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7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 t="s">
        <v>149</v>
      </c>
    </row>
    <row r="9" spans="1:53" ht="17.25" customHeight="1" x14ac:dyDescent="0.2">
      <c r="A9" s="117" t="s">
        <v>139</v>
      </c>
      <c r="B9" s="118"/>
      <c r="C9" s="118"/>
      <c r="D9" s="118"/>
      <c r="E9" s="118"/>
      <c r="F9" s="119"/>
      <c r="G9" s="120" t="s">
        <v>168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141</v>
      </c>
      <c r="B10" s="118"/>
      <c r="C10" s="118"/>
      <c r="D10" s="118"/>
      <c r="E10" s="118"/>
      <c r="F10" s="119"/>
      <c r="G10" s="120" t="s">
        <v>169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143</v>
      </c>
      <c r="B11" s="118"/>
      <c r="C11" s="118"/>
      <c r="D11" s="118"/>
      <c r="E11" s="118"/>
      <c r="F11" s="119"/>
      <c r="G11" s="120" t="s">
        <v>168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50"/>
    </row>
    <row r="12" spans="1:53" ht="17.25" customHeight="1" x14ac:dyDescent="0.2">
      <c r="A12" s="117" t="s">
        <v>145</v>
      </c>
      <c r="B12" s="118"/>
      <c r="C12" s="118"/>
      <c r="D12" s="118"/>
      <c r="E12" s="118"/>
      <c r="F12" s="119"/>
      <c r="G12" s="120" t="s">
        <v>168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50"/>
    </row>
    <row r="13" spans="1:53" ht="17.25" customHeight="1" x14ac:dyDescent="0.2">
      <c r="A13" s="117" t="s">
        <v>146</v>
      </c>
      <c r="B13" s="118"/>
      <c r="C13" s="118"/>
      <c r="D13" s="118"/>
      <c r="E13" s="118"/>
      <c r="F13" s="119"/>
      <c r="G13" s="120" t="s">
        <v>169</v>
      </c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>
        <v>8</v>
      </c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49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0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47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7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8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7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MJ39"/>
  <sheetViews>
    <sheetView showGridLines="0" workbookViewId="0">
      <pane ySplit="7" topLeftCell="A8" activePane="bottomLeft" state="frozen"/>
      <selection pane="bottomLeft" activeCell="G11" sqref="G11:AU12"/>
    </sheetView>
  </sheetViews>
  <sheetFormatPr defaultColWidth="12.42578125" defaultRowHeight="12.75" x14ac:dyDescent="0.2"/>
  <cols>
    <col min="1" max="5" width="1.85546875" style="48" customWidth="1"/>
    <col min="6" max="6" width="3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170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68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134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168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169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168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168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50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169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50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49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3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 t="s">
        <v>151</v>
      </c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152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40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153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1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25"/>
      <c r="B39" s="104"/>
      <c r="C39" s="104"/>
      <c r="D39" s="104"/>
      <c r="E39" s="104"/>
      <c r="F39" s="104"/>
      <c r="G39" s="126" t="s">
        <v>154</v>
      </c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28"/>
      <c r="AN39" s="104"/>
      <c r="AO39" s="104"/>
      <c r="AP39" s="104"/>
      <c r="AQ39" s="104"/>
      <c r="AR39" s="104"/>
      <c r="AS39" s="104"/>
      <c r="AT39" s="104"/>
      <c r="AU39" s="104"/>
      <c r="AV39" s="128"/>
      <c r="AW39" s="104"/>
      <c r="AX39" s="104"/>
      <c r="AY39" s="104"/>
      <c r="AZ39" s="104"/>
    </row>
  </sheetData>
  <mergeCells count="141">
    <mergeCell ref="A39:F39"/>
    <mergeCell ref="G30:AL30"/>
    <mergeCell ref="G14:AL14"/>
    <mergeCell ref="A36:F36"/>
    <mergeCell ref="G32:AL32"/>
    <mergeCell ref="A28:F28"/>
    <mergeCell ref="G13:AL13"/>
    <mergeCell ref="A37:F37"/>
    <mergeCell ref="AV25:AZ25"/>
    <mergeCell ref="G15:AL15"/>
    <mergeCell ref="AM17:AU17"/>
    <mergeCell ref="AM39:AU39"/>
    <mergeCell ref="AV18:AZ18"/>
    <mergeCell ref="AV27:AZ27"/>
    <mergeCell ref="AV8:AZ8"/>
    <mergeCell ref="AM11:AU11"/>
    <mergeCell ref="A14:F14"/>
    <mergeCell ref="AV17:AZ17"/>
    <mergeCell ref="A23:F23"/>
    <mergeCell ref="AV11:AZ11"/>
    <mergeCell ref="G8:AL8"/>
    <mergeCell ref="G39:AL39"/>
    <mergeCell ref="A22:F22"/>
    <mergeCell ref="A35:F35"/>
    <mergeCell ref="AV38:AZ38"/>
    <mergeCell ref="AM16:AU16"/>
    <mergeCell ref="AM25:AU25"/>
    <mergeCell ref="AV37:AZ37"/>
    <mergeCell ref="AV15:AZ15"/>
    <mergeCell ref="AM23:AU23"/>
    <mergeCell ref="AV33:AZ33"/>
    <mergeCell ref="AM8:AU8"/>
    <mergeCell ref="AV39:AZ39"/>
    <mergeCell ref="AM38:AU38"/>
    <mergeCell ref="AM13:AU13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G36:AL36"/>
    <mergeCell ref="AV34:AZ34"/>
    <mergeCell ref="AV28:AZ28"/>
    <mergeCell ref="A20:F20"/>
    <mergeCell ref="AV31:AZ31"/>
    <mergeCell ref="AV16:AZ16"/>
    <mergeCell ref="AV32:AZ32"/>
    <mergeCell ref="AV26:AZ26"/>
    <mergeCell ref="AV36:AZ36"/>
    <mergeCell ref="AV30:AZ30"/>
    <mergeCell ref="AV20:AZ20"/>
    <mergeCell ref="AM28:AU28"/>
    <mergeCell ref="G35:AL35"/>
    <mergeCell ref="AM36:AU36"/>
    <mergeCell ref="A21:F21"/>
    <mergeCell ref="G20:AL20"/>
    <mergeCell ref="G29:AL29"/>
    <mergeCell ref="A25:F25"/>
    <mergeCell ref="A33:F33"/>
    <mergeCell ref="AM10:AU10"/>
    <mergeCell ref="AM21:AU21"/>
    <mergeCell ref="A32:F32"/>
    <mergeCell ref="G23:AL23"/>
    <mergeCell ref="A9:F9"/>
    <mergeCell ref="AM24:AU24"/>
    <mergeCell ref="A15:F15"/>
    <mergeCell ref="G33:AL33"/>
    <mergeCell ref="A24:F24"/>
    <mergeCell ref="A11:F11"/>
    <mergeCell ref="G24:AL24"/>
    <mergeCell ref="AM22:AU22"/>
    <mergeCell ref="AM14:AU14"/>
    <mergeCell ref="AM9:AU9"/>
    <mergeCell ref="A12:F12"/>
    <mergeCell ref="G38:AL38"/>
    <mergeCell ref="A29:F29"/>
    <mergeCell ref="A38:F38"/>
    <mergeCell ref="A13:F13"/>
    <mergeCell ref="AM33:AU33"/>
    <mergeCell ref="A31:F31"/>
    <mergeCell ref="A19:F19"/>
    <mergeCell ref="G28:AL28"/>
    <mergeCell ref="G37:AL37"/>
    <mergeCell ref="A34:F34"/>
    <mergeCell ref="AM27:AU27"/>
    <mergeCell ref="AM35:AU35"/>
    <mergeCell ref="AM31:AU31"/>
    <mergeCell ref="AM15:AU15"/>
    <mergeCell ref="G18:AL18"/>
    <mergeCell ref="AM37:AU37"/>
    <mergeCell ref="G34:AL34"/>
    <mergeCell ref="AM32:AU32"/>
    <mergeCell ref="AM26:AU26"/>
    <mergeCell ref="G22:AL22"/>
    <mergeCell ref="G25:AL25"/>
    <mergeCell ref="A16:F16"/>
    <mergeCell ref="A27:F27"/>
    <mergeCell ref="A18:F18"/>
    <mergeCell ref="AV7:AZ7"/>
    <mergeCell ref="G31:AL31"/>
    <mergeCell ref="F5:Z5"/>
    <mergeCell ref="G12:AL12"/>
    <mergeCell ref="G21:AL21"/>
    <mergeCell ref="A2:R2"/>
    <mergeCell ref="AV19:AZ19"/>
    <mergeCell ref="AA5:AH5"/>
    <mergeCell ref="AE2:AZ2"/>
    <mergeCell ref="AM29:AU29"/>
    <mergeCell ref="G7:AL7"/>
    <mergeCell ref="G10:AL10"/>
    <mergeCell ref="AI5:AZ5"/>
    <mergeCell ref="AV9:AZ9"/>
    <mergeCell ref="A5:E5"/>
    <mergeCell ref="A3:AZ3"/>
    <mergeCell ref="AM7:AU7"/>
    <mergeCell ref="AV10:AZ10"/>
    <mergeCell ref="AM18:AU18"/>
    <mergeCell ref="AV24:AZ24"/>
    <mergeCell ref="A30:F30"/>
    <mergeCell ref="A7:F7"/>
    <mergeCell ref="G9:AL9"/>
    <mergeCell ref="G11:AL11"/>
  </mergeCells>
  <pageMargins left="0.39375000000000004" right="0.39375000000000004" top="0.39375000000000004" bottom="0.39375000000000004" header="0.51181102362204689" footer="0.51181102362204689"/>
  <pageSetup paperSize="9" scale="97" orientation="portrait" useFirstPageNumber="1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MJ40"/>
  <sheetViews>
    <sheetView showGridLines="0" workbookViewId="0">
      <pane ySplit="7" topLeftCell="A8" activePane="bottomLeft" state="frozen"/>
      <selection pane="bottomLeft" activeCell="G11" sqref="G11:AU12"/>
    </sheetView>
  </sheetViews>
  <sheetFormatPr defaultColWidth="12.42578125" defaultRowHeight="12.75" x14ac:dyDescent="0.2"/>
  <cols>
    <col min="1" max="5" width="1.85546875" style="48" customWidth="1"/>
    <col min="6" max="6" width="3.285156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171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69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134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166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172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162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162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240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49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0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40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8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4" orientation="portrait" useFirstPageNumber="1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MJ40"/>
  <sheetViews>
    <sheetView showGridLines="0" workbookViewId="0">
      <pane ySplit="7" topLeftCell="A8" activePane="bottomLeft" state="frozen"/>
      <selection pane="bottomLeft" activeCell="G11" sqref="G11:AU12"/>
    </sheetView>
  </sheetViews>
  <sheetFormatPr defaultColWidth="12.42578125" defaultRowHeight="12.75" x14ac:dyDescent="0.2"/>
  <cols>
    <col min="1" max="5" width="1.85546875" style="48" customWidth="1"/>
    <col min="6" max="6" width="3.285156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70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134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166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172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142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142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240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49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3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40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8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4" orientation="portrait" useFirstPageNumber="1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MJ40"/>
  <sheetViews>
    <sheetView showGridLines="0" workbookViewId="0">
      <pane ySplit="7" topLeftCell="A8" activePane="bottomLeft" state="frozen"/>
      <selection pane="bottomLeft" sqref="A1:R1"/>
    </sheetView>
  </sheetViews>
  <sheetFormatPr defaultColWidth="12.42578125" defaultRowHeight="12.75" x14ac:dyDescent="0.2"/>
  <cols>
    <col min="1" max="5" width="1.85546875" style="48" customWidth="1"/>
    <col min="6" max="6" width="3.1406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174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71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134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158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/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/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/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/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50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/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50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50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50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50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50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50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0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0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  <c r="BA36" s="4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  <c r="BA37" s="4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7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7" orientation="portrait" useFirstPageNumber="1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AMJ40"/>
  <sheetViews>
    <sheetView showGridLines="0" workbookViewId="0">
      <pane ySplit="7" topLeftCell="A8" activePane="bottomLeft" state="frozen"/>
      <selection pane="bottomLeft" activeCell="G11" sqref="G11:AU12"/>
    </sheetView>
  </sheetViews>
  <sheetFormatPr defaultColWidth="12.42578125" defaultRowHeight="12.75" x14ac:dyDescent="0.2"/>
  <cols>
    <col min="1" max="5" width="1.85546875" style="48" customWidth="1"/>
    <col min="6" max="6" width="3.1406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175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72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176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140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177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178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50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178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50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241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50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50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50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50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50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50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0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40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  <c r="BA36" s="4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  <c r="BA37" s="4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7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7" orientation="portrait" useFirstPageNumber="1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AMJ40"/>
  <sheetViews>
    <sheetView showGridLines="0" workbookViewId="0">
      <pane ySplit="7" topLeftCell="A8" activePane="bottomLeft" state="frozen"/>
      <selection pane="bottomLeft" activeCell="G11" sqref="G11:AU12"/>
    </sheetView>
  </sheetViews>
  <sheetFormatPr defaultColWidth="12.42578125" defaultRowHeight="12.75" x14ac:dyDescent="0.2"/>
  <cols>
    <col min="1" max="5" width="1.85546875" style="48" customWidth="1"/>
    <col min="6" max="6" width="3.1406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179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73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134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166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172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142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239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50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240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49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61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61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  <c r="BI18" s="48" t="s">
        <v>180</v>
      </c>
    </row>
    <row r="19" spans="1:61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61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61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61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61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61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61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61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61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61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61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61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61" ht="17.25" customHeight="1" x14ac:dyDescent="0.2">
      <c r="A31" s="117"/>
      <c r="B31" s="118"/>
      <c r="C31" s="118"/>
      <c r="D31" s="118"/>
      <c r="E31" s="118"/>
      <c r="F31" s="119"/>
      <c r="G31" s="120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61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40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7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7" orientation="portrait" useFirstPageNumber="1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BF00"/>
  </sheetPr>
  <dimension ref="A1:AMJ40"/>
  <sheetViews>
    <sheetView showGridLines="0" workbookViewId="0">
      <pane ySplit="7" topLeftCell="A8" activePane="bottomLeft" state="frozen"/>
      <selection pane="bottomLeft" activeCell="G11" sqref="G11:AU12"/>
    </sheetView>
  </sheetViews>
  <sheetFormatPr defaultColWidth="12.42578125" defaultRowHeight="12.75" x14ac:dyDescent="0.2"/>
  <cols>
    <col min="1" max="5" width="1.85546875" style="48" customWidth="1"/>
    <col min="6" max="6" width="3.1406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159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181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84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09" t="s">
        <v>134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182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166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183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162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162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241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49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61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61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  <c r="BI18" s="48" t="s">
        <v>180</v>
      </c>
    </row>
    <row r="19" spans="1:61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61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61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61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61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61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61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61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61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61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61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61" ht="17.25" customHeight="1" x14ac:dyDescent="0.2">
      <c r="A30" s="117"/>
      <c r="B30" s="118"/>
      <c r="C30" s="118"/>
      <c r="D30" s="118"/>
      <c r="E30" s="118"/>
      <c r="F30" s="119"/>
      <c r="G30" s="123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61" ht="17.25" customHeight="1" x14ac:dyDescent="0.2">
      <c r="A31" s="117"/>
      <c r="B31" s="118"/>
      <c r="C31" s="118"/>
      <c r="D31" s="118"/>
      <c r="E31" s="118"/>
      <c r="F31" s="119"/>
      <c r="G31" s="123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61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40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7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7" orientation="portrait" useFirstPageNumber="1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AMJ40"/>
  <sheetViews>
    <sheetView showGridLines="0" workbookViewId="0">
      <pane ySplit="7" topLeftCell="A8" activePane="bottomLeft" state="frozen"/>
      <selection pane="bottomLeft" activeCell="G11" sqref="G11:AU12"/>
    </sheetView>
  </sheetViews>
  <sheetFormatPr defaultColWidth="12.42578125" defaultRowHeight="12.75" x14ac:dyDescent="0.2"/>
  <cols>
    <col min="1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184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74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30" t="s">
        <v>161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162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183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166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239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240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50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50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50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50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50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50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50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50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3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40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8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4" orientation="portrait" useFirstPageNumber="1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AMJ40"/>
  <sheetViews>
    <sheetView showGridLines="0" workbookViewId="0">
      <pane ySplit="7" topLeftCell="A8" activePane="bottomLeft" state="frozen"/>
      <selection pane="bottomLeft" activeCell="G11" sqref="G11:AU12"/>
    </sheetView>
  </sheetViews>
  <sheetFormatPr defaultColWidth="12.42578125" defaultRowHeight="12.75" x14ac:dyDescent="0.2"/>
  <cols>
    <col min="1" max="5" width="1.85546875" style="48" customWidth="1"/>
    <col min="6" max="6" width="3.140625" style="48" customWidth="1"/>
    <col min="7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185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75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31" t="s">
        <v>186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182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144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/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177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142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142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240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/>
      <c r="B13" s="118"/>
      <c r="C13" s="118"/>
      <c r="D13" s="118"/>
      <c r="E13" s="118"/>
      <c r="F13" s="119"/>
      <c r="G13" s="120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/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/>
    </row>
    <row r="14" spans="1:53" ht="17.25" customHeight="1" x14ac:dyDescent="0.2">
      <c r="A14" s="117"/>
      <c r="B14" s="118"/>
      <c r="C14" s="118"/>
      <c r="D14" s="118"/>
      <c r="E14" s="118"/>
      <c r="F14" s="119"/>
      <c r="G14" s="120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/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/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49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49"/>
    </row>
    <row r="17" spans="1:61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61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  <c r="BI18" s="48" t="s">
        <v>180</v>
      </c>
    </row>
    <row r="19" spans="1:61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61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61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61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61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61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61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61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61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61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61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61" ht="17.25" customHeight="1" x14ac:dyDescent="0.2">
      <c r="A30" s="117"/>
      <c r="B30" s="118"/>
      <c r="C30" s="118"/>
      <c r="D30" s="118"/>
      <c r="E30" s="118"/>
      <c r="F30" s="119"/>
      <c r="G30" s="123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61" ht="17.25" customHeight="1" x14ac:dyDescent="0.2">
      <c r="A31" s="117"/>
      <c r="B31" s="118"/>
      <c r="C31" s="118"/>
      <c r="D31" s="118"/>
      <c r="E31" s="118"/>
      <c r="F31" s="119"/>
      <c r="G31" s="123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61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32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0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7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7" orientation="portrait" useFirstPageNumber="1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AMJ40"/>
  <sheetViews>
    <sheetView showGridLines="0" workbookViewId="0">
      <pane ySplit="7" topLeftCell="A8" activePane="bottomLeft" state="frozen"/>
      <selection pane="bottomLeft" activeCell="G11" sqref="G11:AU12"/>
    </sheetView>
  </sheetViews>
  <sheetFormatPr defaultColWidth="12.42578125" defaultRowHeight="12.75" x14ac:dyDescent="0.2"/>
  <cols>
    <col min="1" max="52" width="1.85546875" style="48" customWidth="1"/>
    <col min="53" max="53" width="10.28515625" style="48" customWidth="1"/>
    <col min="54" max="64" width="1.85546875" style="48" customWidth="1"/>
    <col min="65" max="1024" width="12.42578125" style="48" customWidth="1"/>
  </cols>
  <sheetData>
    <row r="1" spans="1:53" ht="13.5" customHeight="1" x14ac:dyDescent="0.2">
      <c r="A1" s="102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AE1" s="103" t="s">
        <v>129</v>
      </c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</row>
    <row r="2" spans="1:53" ht="25.5" customHeight="1" x14ac:dyDescent="0.2">
      <c r="A2" s="102" t="s">
        <v>187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AE2" s="105" t="s">
        <v>131</v>
      </c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</row>
    <row r="3" spans="1:53" ht="24" customHeight="1" x14ac:dyDescent="0.2">
      <c r="A3" s="106" t="str">
        <f>CONCATENATE("Рабочая карточка за ",данные!A1,данные!B1)</f>
        <v>Рабочая карточка за февраль 2026 года.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</row>
    <row r="5" spans="1:53" ht="15.75" customHeight="1" x14ac:dyDescent="0.3">
      <c r="A5" s="107" t="s">
        <v>132</v>
      </c>
      <c r="B5" s="104"/>
      <c r="C5" s="104"/>
      <c r="D5" s="104"/>
      <c r="E5" s="104"/>
      <c r="F5" s="108" t="s">
        <v>76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107" t="s">
        <v>133</v>
      </c>
      <c r="AB5" s="104"/>
      <c r="AC5" s="104"/>
      <c r="AD5" s="104"/>
      <c r="AE5" s="104"/>
      <c r="AF5" s="104"/>
      <c r="AG5" s="104"/>
      <c r="AH5" s="104"/>
      <c r="AI5" s="132" t="s">
        <v>188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7" spans="1:53" ht="32.25" customHeight="1" x14ac:dyDescent="0.2">
      <c r="A7" s="110" t="s">
        <v>135</v>
      </c>
      <c r="B7" s="111"/>
      <c r="C7" s="111"/>
      <c r="D7" s="111"/>
      <c r="E7" s="111"/>
      <c r="F7" s="112"/>
      <c r="G7" s="113" t="s">
        <v>136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4" t="s">
        <v>137</v>
      </c>
      <c r="AN7" s="111"/>
      <c r="AO7" s="111"/>
      <c r="AP7" s="111"/>
      <c r="AQ7" s="111"/>
      <c r="AR7" s="111"/>
      <c r="AS7" s="111"/>
      <c r="AT7" s="111"/>
      <c r="AU7" s="112"/>
      <c r="AV7" s="115" t="s">
        <v>138</v>
      </c>
      <c r="AW7" s="111"/>
      <c r="AX7" s="111"/>
      <c r="AY7" s="111"/>
      <c r="AZ7" s="116"/>
    </row>
    <row r="8" spans="1:53" ht="17.25" customHeight="1" x14ac:dyDescent="0.2">
      <c r="A8" s="117" t="s">
        <v>139</v>
      </c>
      <c r="B8" s="118"/>
      <c r="C8" s="118"/>
      <c r="D8" s="118"/>
      <c r="E8" s="118"/>
      <c r="F8" s="119"/>
      <c r="G8" s="120" t="s">
        <v>162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21">
        <v>8</v>
      </c>
      <c r="AN8" s="118"/>
      <c r="AO8" s="118"/>
      <c r="AP8" s="118"/>
      <c r="AQ8" s="118"/>
      <c r="AR8" s="118"/>
      <c r="AS8" s="118"/>
      <c r="AT8" s="118"/>
      <c r="AU8" s="119"/>
      <c r="AV8" s="122"/>
      <c r="AW8" s="118"/>
      <c r="AX8" s="118"/>
      <c r="AY8" s="118"/>
      <c r="AZ8" s="119"/>
      <c r="BA8" s="49"/>
    </row>
    <row r="9" spans="1:53" ht="17.25" customHeight="1" x14ac:dyDescent="0.2">
      <c r="A9" s="117" t="s">
        <v>141</v>
      </c>
      <c r="B9" s="118"/>
      <c r="C9" s="118"/>
      <c r="D9" s="118"/>
      <c r="E9" s="118"/>
      <c r="F9" s="119"/>
      <c r="G9" s="120" t="s">
        <v>163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21">
        <v>8</v>
      </c>
      <c r="AN9" s="118"/>
      <c r="AO9" s="118"/>
      <c r="AP9" s="118"/>
      <c r="AQ9" s="118"/>
      <c r="AR9" s="118"/>
      <c r="AS9" s="118"/>
      <c r="AT9" s="118"/>
      <c r="AU9" s="119"/>
      <c r="AV9" s="122"/>
      <c r="AW9" s="118"/>
      <c r="AX9" s="118"/>
      <c r="AY9" s="118"/>
      <c r="AZ9" s="119"/>
      <c r="BA9" s="49"/>
    </row>
    <row r="10" spans="1:53" ht="17.25" customHeight="1" x14ac:dyDescent="0.2">
      <c r="A10" s="117" t="s">
        <v>143</v>
      </c>
      <c r="B10" s="118"/>
      <c r="C10" s="118"/>
      <c r="D10" s="118"/>
      <c r="E10" s="118"/>
      <c r="F10" s="119"/>
      <c r="G10" s="120" t="s">
        <v>163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21">
        <v>8</v>
      </c>
      <c r="AN10" s="118"/>
      <c r="AO10" s="118"/>
      <c r="AP10" s="118"/>
      <c r="AQ10" s="118"/>
      <c r="AR10" s="118"/>
      <c r="AS10" s="118"/>
      <c r="AT10" s="118"/>
      <c r="AU10" s="119"/>
      <c r="AV10" s="122"/>
      <c r="AW10" s="118"/>
      <c r="AX10" s="118"/>
      <c r="AY10" s="118"/>
      <c r="AZ10" s="119"/>
      <c r="BA10" s="49"/>
    </row>
    <row r="11" spans="1:53" ht="17.25" customHeight="1" x14ac:dyDescent="0.2">
      <c r="A11" s="117" t="s">
        <v>145</v>
      </c>
      <c r="B11" s="118"/>
      <c r="C11" s="118"/>
      <c r="D11" s="118"/>
      <c r="E11" s="118"/>
      <c r="F11" s="119"/>
      <c r="G11" s="120" t="s">
        <v>239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21">
        <v>8</v>
      </c>
      <c r="AN11" s="118"/>
      <c r="AO11" s="118"/>
      <c r="AP11" s="118"/>
      <c r="AQ11" s="118"/>
      <c r="AR11" s="118"/>
      <c r="AS11" s="118"/>
      <c r="AT11" s="118"/>
      <c r="AU11" s="119"/>
      <c r="AV11" s="122"/>
      <c r="AW11" s="118"/>
      <c r="AX11" s="118"/>
      <c r="AY11" s="118"/>
      <c r="AZ11" s="119"/>
      <c r="BA11" s="49"/>
    </row>
    <row r="12" spans="1:53" ht="17.25" customHeight="1" x14ac:dyDescent="0.2">
      <c r="A12" s="117" t="s">
        <v>146</v>
      </c>
      <c r="B12" s="118"/>
      <c r="C12" s="118"/>
      <c r="D12" s="118"/>
      <c r="E12" s="118"/>
      <c r="F12" s="119"/>
      <c r="G12" s="120" t="s">
        <v>240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21">
        <v>8</v>
      </c>
      <c r="AN12" s="118"/>
      <c r="AO12" s="118"/>
      <c r="AP12" s="118"/>
      <c r="AQ12" s="118"/>
      <c r="AR12" s="118"/>
      <c r="AS12" s="118"/>
      <c r="AT12" s="118"/>
      <c r="AU12" s="119"/>
      <c r="AV12" s="122"/>
      <c r="AW12" s="118"/>
      <c r="AX12" s="118"/>
      <c r="AY12" s="118"/>
      <c r="AZ12" s="119"/>
      <c r="BA12" s="49"/>
    </row>
    <row r="13" spans="1:53" ht="17.25" customHeight="1" x14ac:dyDescent="0.2">
      <c r="A13" s="117" t="s">
        <v>147</v>
      </c>
      <c r="B13" s="118"/>
      <c r="C13" s="118"/>
      <c r="D13" s="118"/>
      <c r="E13" s="118"/>
      <c r="F13" s="119"/>
      <c r="G13" s="120" t="s">
        <v>148</v>
      </c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21">
        <v>7</v>
      </c>
      <c r="AN13" s="118"/>
      <c r="AO13" s="118"/>
      <c r="AP13" s="118"/>
      <c r="AQ13" s="118"/>
      <c r="AR13" s="118"/>
      <c r="AS13" s="118"/>
      <c r="AT13" s="118"/>
      <c r="AU13" s="119"/>
      <c r="AV13" s="122"/>
      <c r="AW13" s="118"/>
      <c r="AX13" s="118"/>
      <c r="AY13" s="118"/>
      <c r="AZ13" s="119"/>
      <c r="BA13" s="49" t="s">
        <v>149</v>
      </c>
    </row>
    <row r="14" spans="1:53" ht="17.25" customHeight="1" x14ac:dyDescent="0.2">
      <c r="A14" s="117" t="s">
        <v>150</v>
      </c>
      <c r="B14" s="118"/>
      <c r="C14" s="118"/>
      <c r="D14" s="118"/>
      <c r="E14" s="118"/>
      <c r="F14" s="119"/>
      <c r="G14" s="120" t="s">
        <v>148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21">
        <v>7</v>
      </c>
      <c r="AN14" s="118"/>
      <c r="AO14" s="118"/>
      <c r="AP14" s="118"/>
      <c r="AQ14" s="118"/>
      <c r="AR14" s="118"/>
      <c r="AS14" s="118"/>
      <c r="AT14" s="118"/>
      <c r="AU14" s="119"/>
      <c r="AV14" s="122"/>
      <c r="AW14" s="118"/>
      <c r="AX14" s="118"/>
      <c r="AY14" s="118"/>
      <c r="AZ14" s="119"/>
      <c r="BA14" s="49" t="s">
        <v>149</v>
      </c>
    </row>
    <row r="15" spans="1:53" ht="17.25" customHeight="1" x14ac:dyDescent="0.2">
      <c r="A15" s="117"/>
      <c r="B15" s="118"/>
      <c r="C15" s="118"/>
      <c r="D15" s="118"/>
      <c r="E15" s="118"/>
      <c r="F15" s="119"/>
      <c r="G15" s="120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21"/>
      <c r="AN15" s="118"/>
      <c r="AO15" s="118"/>
      <c r="AP15" s="118"/>
      <c r="AQ15" s="118"/>
      <c r="AR15" s="118"/>
      <c r="AS15" s="118"/>
      <c r="AT15" s="118"/>
      <c r="AU15" s="119"/>
      <c r="AV15" s="122"/>
      <c r="AW15" s="118"/>
      <c r="AX15" s="118"/>
      <c r="AY15" s="118"/>
      <c r="AZ15" s="119"/>
      <c r="BA15" s="50"/>
    </row>
    <row r="16" spans="1:53" ht="17.25" customHeight="1" x14ac:dyDescent="0.2">
      <c r="A16" s="117"/>
      <c r="B16" s="118"/>
      <c r="C16" s="118"/>
      <c r="D16" s="118"/>
      <c r="E16" s="118"/>
      <c r="F16" s="119"/>
      <c r="G16" s="12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21"/>
      <c r="AN16" s="118"/>
      <c r="AO16" s="118"/>
      <c r="AP16" s="118"/>
      <c r="AQ16" s="118"/>
      <c r="AR16" s="118"/>
      <c r="AS16" s="118"/>
      <c r="AT16" s="118"/>
      <c r="AU16" s="119"/>
      <c r="AV16" s="122"/>
      <c r="AW16" s="118"/>
      <c r="AX16" s="118"/>
      <c r="AY16" s="118"/>
      <c r="AZ16" s="119"/>
      <c r="BA16" s="50"/>
    </row>
    <row r="17" spans="1:53" ht="17.25" customHeight="1" x14ac:dyDescent="0.2">
      <c r="A17" s="117"/>
      <c r="B17" s="118"/>
      <c r="C17" s="118"/>
      <c r="D17" s="118"/>
      <c r="E17" s="118"/>
      <c r="F17" s="119"/>
      <c r="G17" s="12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21"/>
      <c r="AN17" s="118"/>
      <c r="AO17" s="118"/>
      <c r="AP17" s="118"/>
      <c r="AQ17" s="118"/>
      <c r="AR17" s="118"/>
      <c r="AS17" s="118"/>
      <c r="AT17" s="118"/>
      <c r="AU17" s="119"/>
      <c r="AV17" s="122"/>
      <c r="AW17" s="118"/>
      <c r="AX17" s="118"/>
      <c r="AY17" s="118"/>
      <c r="AZ17" s="119"/>
      <c r="BA17" s="49"/>
    </row>
    <row r="18" spans="1:53" ht="17.25" customHeight="1" x14ac:dyDescent="0.2">
      <c r="A18" s="117"/>
      <c r="B18" s="118"/>
      <c r="C18" s="118"/>
      <c r="D18" s="118"/>
      <c r="E18" s="118"/>
      <c r="F18" s="119"/>
      <c r="G18" s="12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21"/>
      <c r="AN18" s="118"/>
      <c r="AO18" s="118"/>
      <c r="AP18" s="118"/>
      <c r="AQ18" s="118"/>
      <c r="AR18" s="118"/>
      <c r="AS18" s="118"/>
      <c r="AT18" s="118"/>
      <c r="AU18" s="119"/>
      <c r="AV18" s="122"/>
      <c r="AW18" s="118"/>
      <c r="AX18" s="118"/>
      <c r="AY18" s="118"/>
      <c r="AZ18" s="119"/>
      <c r="BA18" s="49"/>
    </row>
    <row r="19" spans="1:53" ht="17.25" customHeight="1" x14ac:dyDescent="0.2">
      <c r="A19" s="117"/>
      <c r="B19" s="118"/>
      <c r="C19" s="118"/>
      <c r="D19" s="118"/>
      <c r="E19" s="118"/>
      <c r="F19" s="119"/>
      <c r="G19" s="12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21"/>
      <c r="AN19" s="118"/>
      <c r="AO19" s="118"/>
      <c r="AP19" s="118"/>
      <c r="AQ19" s="118"/>
      <c r="AR19" s="118"/>
      <c r="AS19" s="118"/>
      <c r="AT19" s="118"/>
      <c r="AU19" s="119"/>
      <c r="AV19" s="122"/>
      <c r="AW19" s="118"/>
      <c r="AX19" s="118"/>
      <c r="AY19" s="118"/>
      <c r="AZ19" s="119"/>
      <c r="BA19" s="49"/>
    </row>
    <row r="20" spans="1:53" ht="17.25" customHeight="1" x14ac:dyDescent="0.2">
      <c r="A20" s="117"/>
      <c r="B20" s="118"/>
      <c r="C20" s="118"/>
      <c r="D20" s="118"/>
      <c r="E20" s="118"/>
      <c r="F20" s="119"/>
      <c r="G20" s="12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1"/>
      <c r="AN20" s="118"/>
      <c r="AO20" s="118"/>
      <c r="AP20" s="118"/>
      <c r="AQ20" s="118"/>
      <c r="AR20" s="118"/>
      <c r="AS20" s="118"/>
      <c r="AT20" s="118"/>
      <c r="AU20" s="119"/>
      <c r="AV20" s="122"/>
      <c r="AW20" s="118"/>
      <c r="AX20" s="118"/>
      <c r="AY20" s="118"/>
      <c r="AZ20" s="119"/>
      <c r="BA20" s="49"/>
    </row>
    <row r="21" spans="1:53" ht="17.25" customHeight="1" x14ac:dyDescent="0.2">
      <c r="A21" s="117"/>
      <c r="B21" s="118"/>
      <c r="C21" s="118"/>
      <c r="D21" s="118"/>
      <c r="E21" s="118"/>
      <c r="F21" s="119"/>
      <c r="G21" s="120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1"/>
      <c r="AN21" s="118"/>
      <c r="AO21" s="118"/>
      <c r="AP21" s="118"/>
      <c r="AQ21" s="118"/>
      <c r="AR21" s="118"/>
      <c r="AS21" s="118"/>
      <c r="AT21" s="118"/>
      <c r="AU21" s="119"/>
      <c r="AV21" s="122"/>
      <c r="AW21" s="118"/>
      <c r="AX21" s="118"/>
      <c r="AY21" s="118"/>
      <c r="AZ21" s="119"/>
      <c r="BA21" s="49"/>
    </row>
    <row r="22" spans="1:53" ht="17.25" customHeight="1" x14ac:dyDescent="0.2">
      <c r="A22" s="117"/>
      <c r="B22" s="118"/>
      <c r="C22" s="118"/>
      <c r="D22" s="118"/>
      <c r="E22" s="118"/>
      <c r="F22" s="119"/>
      <c r="G22" s="120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1"/>
      <c r="AN22" s="118"/>
      <c r="AO22" s="118"/>
      <c r="AP22" s="118"/>
      <c r="AQ22" s="118"/>
      <c r="AR22" s="118"/>
      <c r="AS22" s="118"/>
      <c r="AT22" s="118"/>
      <c r="AU22" s="119"/>
      <c r="AV22" s="122"/>
      <c r="AW22" s="118"/>
      <c r="AX22" s="118"/>
      <c r="AY22" s="118"/>
      <c r="AZ22" s="119"/>
      <c r="BA22" s="49"/>
    </row>
    <row r="23" spans="1:53" ht="17.25" customHeight="1" x14ac:dyDescent="0.2">
      <c r="A23" s="117"/>
      <c r="B23" s="118"/>
      <c r="C23" s="118"/>
      <c r="D23" s="118"/>
      <c r="E23" s="118"/>
      <c r="F23" s="119"/>
      <c r="G23" s="120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21"/>
      <c r="AN23" s="118"/>
      <c r="AO23" s="118"/>
      <c r="AP23" s="118"/>
      <c r="AQ23" s="118"/>
      <c r="AR23" s="118"/>
      <c r="AS23" s="118"/>
      <c r="AT23" s="118"/>
      <c r="AU23" s="119"/>
      <c r="AV23" s="122"/>
      <c r="AW23" s="118"/>
      <c r="AX23" s="118"/>
      <c r="AY23" s="118"/>
      <c r="AZ23" s="119"/>
      <c r="BA23" s="49"/>
    </row>
    <row r="24" spans="1:53" ht="17.25" customHeight="1" x14ac:dyDescent="0.2">
      <c r="A24" s="117"/>
      <c r="B24" s="118"/>
      <c r="C24" s="118"/>
      <c r="D24" s="118"/>
      <c r="E24" s="118"/>
      <c r="F24" s="119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21"/>
      <c r="AN24" s="118"/>
      <c r="AO24" s="118"/>
      <c r="AP24" s="118"/>
      <c r="AQ24" s="118"/>
      <c r="AR24" s="118"/>
      <c r="AS24" s="118"/>
      <c r="AT24" s="118"/>
      <c r="AU24" s="119"/>
      <c r="AV24" s="122"/>
      <c r="AW24" s="118"/>
      <c r="AX24" s="118"/>
      <c r="AY24" s="118"/>
      <c r="AZ24" s="119"/>
      <c r="BA24" s="49"/>
    </row>
    <row r="25" spans="1:53" ht="17.25" customHeight="1" x14ac:dyDescent="0.2">
      <c r="A25" s="117"/>
      <c r="B25" s="118"/>
      <c r="C25" s="118"/>
      <c r="D25" s="118"/>
      <c r="E25" s="118"/>
      <c r="F25" s="119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21"/>
      <c r="AN25" s="118"/>
      <c r="AO25" s="118"/>
      <c r="AP25" s="118"/>
      <c r="AQ25" s="118"/>
      <c r="AR25" s="118"/>
      <c r="AS25" s="118"/>
      <c r="AT25" s="118"/>
      <c r="AU25" s="119"/>
      <c r="AV25" s="122"/>
      <c r="AW25" s="118"/>
      <c r="AX25" s="118"/>
      <c r="AY25" s="118"/>
      <c r="AZ25" s="119"/>
      <c r="BA25" s="49"/>
    </row>
    <row r="26" spans="1:53" ht="17.25" customHeight="1" x14ac:dyDescent="0.2">
      <c r="A26" s="117"/>
      <c r="B26" s="118"/>
      <c r="C26" s="118"/>
      <c r="D26" s="118"/>
      <c r="E26" s="118"/>
      <c r="F26" s="119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21"/>
      <c r="AN26" s="118"/>
      <c r="AO26" s="118"/>
      <c r="AP26" s="118"/>
      <c r="AQ26" s="118"/>
      <c r="AR26" s="118"/>
      <c r="AS26" s="118"/>
      <c r="AT26" s="118"/>
      <c r="AU26" s="119"/>
      <c r="AV26" s="122"/>
      <c r="AW26" s="118"/>
      <c r="AX26" s="118"/>
      <c r="AY26" s="118"/>
      <c r="AZ26" s="119"/>
      <c r="BA26" s="49"/>
    </row>
    <row r="27" spans="1:53" ht="17.25" customHeight="1" x14ac:dyDescent="0.2">
      <c r="A27" s="117"/>
      <c r="B27" s="118"/>
      <c r="C27" s="118"/>
      <c r="D27" s="118"/>
      <c r="E27" s="118"/>
      <c r="F27" s="119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21"/>
      <c r="AN27" s="118"/>
      <c r="AO27" s="118"/>
      <c r="AP27" s="118"/>
      <c r="AQ27" s="118"/>
      <c r="AR27" s="118"/>
      <c r="AS27" s="118"/>
      <c r="AT27" s="118"/>
      <c r="AU27" s="119"/>
      <c r="AV27" s="122"/>
      <c r="AW27" s="118"/>
      <c r="AX27" s="118"/>
      <c r="AY27" s="118"/>
      <c r="AZ27" s="119"/>
      <c r="BA27" s="49"/>
    </row>
    <row r="28" spans="1:53" ht="17.25" customHeight="1" x14ac:dyDescent="0.2">
      <c r="A28" s="117"/>
      <c r="B28" s="118"/>
      <c r="C28" s="118"/>
      <c r="D28" s="118"/>
      <c r="E28" s="118"/>
      <c r="F28" s="119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1"/>
      <c r="AN28" s="118"/>
      <c r="AO28" s="118"/>
      <c r="AP28" s="118"/>
      <c r="AQ28" s="118"/>
      <c r="AR28" s="118"/>
      <c r="AS28" s="118"/>
      <c r="AT28" s="118"/>
      <c r="AU28" s="119"/>
      <c r="AV28" s="122"/>
      <c r="AW28" s="118"/>
      <c r="AX28" s="118"/>
      <c r="AY28" s="118"/>
      <c r="AZ28" s="119"/>
      <c r="BA28" s="49"/>
    </row>
    <row r="29" spans="1:53" ht="17.25" customHeight="1" x14ac:dyDescent="0.2">
      <c r="A29" s="117"/>
      <c r="B29" s="118"/>
      <c r="C29" s="118"/>
      <c r="D29" s="118"/>
      <c r="E29" s="118"/>
      <c r="F29" s="119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1"/>
      <c r="AN29" s="118"/>
      <c r="AO29" s="118"/>
      <c r="AP29" s="118"/>
      <c r="AQ29" s="118"/>
      <c r="AR29" s="118"/>
      <c r="AS29" s="118"/>
      <c r="AT29" s="118"/>
      <c r="AU29" s="119"/>
      <c r="AV29" s="122"/>
      <c r="AW29" s="118"/>
      <c r="AX29" s="118"/>
      <c r="AY29" s="118"/>
      <c r="AZ29" s="119"/>
      <c r="BA29" s="49"/>
    </row>
    <row r="30" spans="1:53" ht="17.25" customHeight="1" x14ac:dyDescent="0.2">
      <c r="A30" s="117"/>
      <c r="B30" s="118"/>
      <c r="C30" s="118"/>
      <c r="D30" s="118"/>
      <c r="E30" s="118"/>
      <c r="F30" s="119"/>
      <c r="G30" s="123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21"/>
      <c r="AN30" s="118"/>
      <c r="AO30" s="118"/>
      <c r="AP30" s="118"/>
      <c r="AQ30" s="118"/>
      <c r="AR30" s="118"/>
      <c r="AS30" s="118"/>
      <c r="AT30" s="118"/>
      <c r="AU30" s="119"/>
      <c r="AV30" s="122"/>
      <c r="AW30" s="118"/>
      <c r="AX30" s="118"/>
      <c r="AY30" s="118"/>
      <c r="AZ30" s="119"/>
      <c r="BA30" s="49"/>
    </row>
    <row r="31" spans="1:53" ht="17.25" customHeight="1" x14ac:dyDescent="0.2">
      <c r="A31" s="117"/>
      <c r="B31" s="118"/>
      <c r="C31" s="118"/>
      <c r="D31" s="118"/>
      <c r="E31" s="118"/>
      <c r="F31" s="119"/>
      <c r="G31" s="123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21"/>
      <c r="AN31" s="118"/>
      <c r="AO31" s="118"/>
      <c r="AP31" s="118"/>
      <c r="AQ31" s="118"/>
      <c r="AR31" s="118"/>
      <c r="AS31" s="118"/>
      <c r="AT31" s="118"/>
      <c r="AU31" s="119"/>
      <c r="AV31" s="122"/>
      <c r="AW31" s="118"/>
      <c r="AX31" s="118"/>
      <c r="AY31" s="118"/>
      <c r="AZ31" s="119"/>
      <c r="BA31" s="49"/>
    </row>
    <row r="32" spans="1:53" ht="17.25" customHeight="1" x14ac:dyDescent="0.2">
      <c r="A32" s="117"/>
      <c r="B32" s="118"/>
      <c r="C32" s="118"/>
      <c r="D32" s="118"/>
      <c r="E32" s="118"/>
      <c r="F32" s="119"/>
      <c r="G32" s="123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1"/>
      <c r="AN32" s="118"/>
      <c r="AO32" s="118"/>
      <c r="AP32" s="118"/>
      <c r="AQ32" s="118"/>
      <c r="AR32" s="118"/>
      <c r="AS32" s="118"/>
      <c r="AT32" s="118"/>
      <c r="AU32" s="119"/>
      <c r="AV32" s="122"/>
      <c r="AW32" s="118"/>
      <c r="AX32" s="118"/>
      <c r="AY32" s="118"/>
      <c r="AZ32" s="119"/>
      <c r="BA32" s="49"/>
    </row>
    <row r="33" spans="1:53" ht="17.25" customHeight="1" x14ac:dyDescent="0.2">
      <c r="A33" s="117"/>
      <c r="B33" s="118"/>
      <c r="C33" s="118"/>
      <c r="D33" s="118"/>
      <c r="E33" s="118"/>
      <c r="F33" s="119"/>
      <c r="G33" s="123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1"/>
      <c r="AN33" s="118"/>
      <c r="AO33" s="118"/>
      <c r="AP33" s="118"/>
      <c r="AQ33" s="118"/>
      <c r="AR33" s="118"/>
      <c r="AS33" s="118"/>
      <c r="AT33" s="118"/>
      <c r="AU33" s="119"/>
      <c r="AV33" s="122"/>
      <c r="AW33" s="118"/>
      <c r="AX33" s="118"/>
      <c r="AY33" s="118"/>
      <c r="AZ33" s="119"/>
      <c r="BA33" s="49"/>
    </row>
    <row r="34" spans="1:53" ht="17.25" customHeight="1" x14ac:dyDescent="0.2">
      <c r="A34" s="117"/>
      <c r="B34" s="118"/>
      <c r="C34" s="118"/>
      <c r="D34" s="118"/>
      <c r="E34" s="118"/>
      <c r="F34" s="119"/>
      <c r="G34" s="123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9"/>
      <c r="AM34" s="121"/>
      <c r="AN34" s="118"/>
      <c r="AO34" s="118"/>
      <c r="AP34" s="118"/>
      <c r="AQ34" s="118"/>
      <c r="AR34" s="118"/>
      <c r="AS34" s="118"/>
      <c r="AT34" s="118"/>
      <c r="AU34" s="119"/>
      <c r="AV34" s="122"/>
      <c r="AW34" s="118"/>
      <c r="AX34" s="118"/>
      <c r="AY34" s="118"/>
      <c r="AZ34" s="119"/>
      <c r="BA34" s="49"/>
    </row>
    <row r="35" spans="1:53" ht="17.25" customHeight="1" x14ac:dyDescent="0.2">
      <c r="A35" s="117"/>
      <c r="B35" s="118"/>
      <c r="C35" s="118"/>
      <c r="D35" s="118"/>
      <c r="E35" s="118"/>
      <c r="F35" s="119"/>
      <c r="G35" s="123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9"/>
      <c r="AM35" s="121"/>
      <c r="AN35" s="118"/>
      <c r="AO35" s="118"/>
      <c r="AP35" s="118"/>
      <c r="AQ35" s="118"/>
      <c r="AR35" s="118"/>
      <c r="AS35" s="118"/>
      <c r="AT35" s="118"/>
      <c r="AU35" s="119"/>
      <c r="AV35" s="122"/>
      <c r="AW35" s="118"/>
      <c r="AX35" s="118"/>
      <c r="AY35" s="118"/>
      <c r="AZ35" s="119"/>
      <c r="BA35" s="49"/>
    </row>
    <row r="36" spans="1:53" ht="17.25" customHeight="1" x14ac:dyDescent="0.2">
      <c r="A36" s="117"/>
      <c r="B36" s="118"/>
      <c r="C36" s="118"/>
      <c r="D36" s="118"/>
      <c r="E36" s="118"/>
      <c r="F36" s="119"/>
      <c r="G36" s="123" t="s">
        <v>151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9"/>
      <c r="AM36" s="124">
        <f>SUM(AM8:AM35)</f>
        <v>54</v>
      </c>
      <c r="AN36" s="118"/>
      <c r="AO36" s="118"/>
      <c r="AP36" s="118"/>
      <c r="AQ36" s="118"/>
      <c r="AR36" s="118"/>
      <c r="AS36" s="118"/>
      <c r="AT36" s="118"/>
      <c r="AU36" s="119"/>
      <c r="AV36" s="122"/>
      <c r="AW36" s="118"/>
      <c r="AX36" s="118"/>
      <c r="AY36" s="118"/>
      <c r="AZ36" s="119"/>
    </row>
    <row r="37" spans="1:53" ht="17.25" customHeight="1" x14ac:dyDescent="0.2">
      <c r="A37" s="117"/>
      <c r="B37" s="118"/>
      <c r="C37" s="118"/>
      <c r="D37" s="118"/>
      <c r="E37" s="118"/>
      <c r="F37" s="119"/>
      <c r="G37" s="123" t="s">
        <v>152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9"/>
      <c r="AM37" s="124">
        <f>SUMIF(BA8:BA35,"Выходной",AM8:AM35)</f>
        <v>14</v>
      </c>
      <c r="AN37" s="118"/>
      <c r="AO37" s="118"/>
      <c r="AP37" s="118"/>
      <c r="AQ37" s="118"/>
      <c r="AR37" s="118"/>
      <c r="AS37" s="118"/>
      <c r="AT37" s="118"/>
      <c r="AU37" s="119"/>
      <c r="AV37" s="122"/>
      <c r="AW37" s="118"/>
      <c r="AX37" s="118"/>
      <c r="AY37" s="118"/>
      <c r="AZ37" s="119"/>
    </row>
    <row r="38" spans="1:53" ht="17.25" customHeight="1" x14ac:dyDescent="0.2">
      <c r="A38" s="117"/>
      <c r="B38" s="118"/>
      <c r="C38" s="118"/>
      <c r="D38" s="118"/>
      <c r="E38" s="118"/>
      <c r="F38" s="119"/>
      <c r="G38" s="123" t="s">
        <v>153</v>
      </c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24"/>
      <c r="AN38" s="118"/>
      <c r="AO38" s="118"/>
      <c r="AP38" s="118"/>
      <c r="AQ38" s="118"/>
      <c r="AR38" s="118"/>
      <c r="AS38" s="118"/>
      <c r="AT38" s="118"/>
      <c r="AU38" s="119"/>
      <c r="AV38" s="122"/>
      <c r="AW38" s="118"/>
      <c r="AX38" s="118"/>
      <c r="AY38" s="118"/>
      <c r="AZ38" s="119"/>
    </row>
    <row r="39" spans="1:53" ht="17.25" customHeight="1" x14ac:dyDescent="0.2">
      <c r="A39" s="117"/>
      <c r="B39" s="118"/>
      <c r="C39" s="118"/>
      <c r="D39" s="118"/>
      <c r="E39" s="118"/>
      <c r="F39" s="119"/>
      <c r="G39" s="123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9"/>
      <c r="AM39" s="121"/>
      <c r="AN39" s="118"/>
      <c r="AO39" s="118"/>
      <c r="AP39" s="118"/>
      <c r="AQ39" s="118"/>
      <c r="AR39" s="118"/>
      <c r="AS39" s="118"/>
      <c r="AT39" s="118"/>
      <c r="AU39" s="119"/>
      <c r="AV39" s="122"/>
      <c r="AW39" s="118"/>
      <c r="AX39" s="118"/>
      <c r="AY39" s="118"/>
      <c r="AZ39" s="119"/>
    </row>
    <row r="40" spans="1:53" ht="17.25" customHeight="1" x14ac:dyDescent="0.2">
      <c r="A40" s="125"/>
      <c r="B40" s="104"/>
      <c r="C40" s="104"/>
      <c r="D40" s="104"/>
      <c r="E40" s="104"/>
      <c r="F40" s="104"/>
      <c r="G40" s="126" t="s">
        <v>154</v>
      </c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28"/>
      <c r="AN40" s="104"/>
      <c r="AO40" s="104"/>
      <c r="AP40" s="104"/>
      <c r="AQ40" s="104"/>
      <c r="AR40" s="104"/>
      <c r="AS40" s="104"/>
      <c r="AT40" s="104"/>
      <c r="AU40" s="104"/>
      <c r="AV40" s="128"/>
      <c r="AW40" s="104"/>
      <c r="AX40" s="104"/>
      <c r="AY40" s="104"/>
      <c r="AZ40" s="104"/>
    </row>
  </sheetData>
  <mergeCells count="145">
    <mergeCell ref="AM37:AU37"/>
    <mergeCell ref="G34:AL34"/>
    <mergeCell ref="AM32:AU32"/>
    <mergeCell ref="AM26:AU26"/>
    <mergeCell ref="A14:F14"/>
    <mergeCell ref="AM35:AU35"/>
    <mergeCell ref="AM31:AU31"/>
    <mergeCell ref="AM36:AU36"/>
    <mergeCell ref="G36:AL36"/>
    <mergeCell ref="AE2:AZ2"/>
    <mergeCell ref="AM29:AU29"/>
    <mergeCell ref="AV37:AZ37"/>
    <mergeCell ref="AV15:AZ15"/>
    <mergeCell ref="AM23:AU23"/>
    <mergeCell ref="AV40:AZ40"/>
    <mergeCell ref="G14:AL14"/>
    <mergeCell ref="A36:F36"/>
    <mergeCell ref="AV32:AZ32"/>
    <mergeCell ref="AV26:AZ26"/>
    <mergeCell ref="G32:AL32"/>
    <mergeCell ref="A3:AZ3"/>
    <mergeCell ref="AV16:AZ16"/>
    <mergeCell ref="G40:AL40"/>
    <mergeCell ref="A37:F37"/>
    <mergeCell ref="AV25:AZ25"/>
    <mergeCell ref="AM9:AU9"/>
    <mergeCell ref="A12:F12"/>
    <mergeCell ref="A21:F21"/>
    <mergeCell ref="AM39:AU39"/>
    <mergeCell ref="AV18:AZ18"/>
    <mergeCell ref="AV27:AZ27"/>
    <mergeCell ref="AV8:AZ8"/>
    <mergeCell ref="AM11:AU11"/>
    <mergeCell ref="AV39:AZ39"/>
    <mergeCell ref="G17:AL17"/>
    <mergeCell ref="A8:F8"/>
    <mergeCell ref="AM30:AU30"/>
    <mergeCell ref="A17:F17"/>
    <mergeCell ref="AV14:AZ14"/>
    <mergeCell ref="AV29:AZ29"/>
    <mergeCell ref="AV23:AZ23"/>
    <mergeCell ref="AM12:AU12"/>
    <mergeCell ref="G19:AL19"/>
    <mergeCell ref="A10:F10"/>
    <mergeCell ref="AV13:AZ13"/>
    <mergeCell ref="AM21:AU21"/>
    <mergeCell ref="A19:F19"/>
    <mergeCell ref="G28:AL28"/>
    <mergeCell ref="G37:AL37"/>
    <mergeCell ref="A34:F34"/>
    <mergeCell ref="AM27:AU27"/>
    <mergeCell ref="A39:F39"/>
    <mergeCell ref="G30:AL30"/>
    <mergeCell ref="AM38:AU38"/>
    <mergeCell ref="AM13:AU13"/>
    <mergeCell ref="G20:AL20"/>
    <mergeCell ref="G29:AL29"/>
    <mergeCell ref="A1:R1"/>
    <mergeCell ref="AM19:AU19"/>
    <mergeCell ref="G26:AL26"/>
    <mergeCell ref="AM34:AU34"/>
    <mergeCell ref="G16:AL16"/>
    <mergeCell ref="AE1:AZ1"/>
    <mergeCell ref="AV35:AZ35"/>
    <mergeCell ref="AV22:AZ22"/>
    <mergeCell ref="A26:F26"/>
    <mergeCell ref="AM20:AU20"/>
    <mergeCell ref="G27:AL27"/>
    <mergeCell ref="AV12:AZ12"/>
    <mergeCell ref="AV21:AZ21"/>
    <mergeCell ref="AA5:AH5"/>
    <mergeCell ref="G18:AL18"/>
    <mergeCell ref="AM7:AU7"/>
    <mergeCell ref="AM16:AU16"/>
    <mergeCell ref="AM25:AU25"/>
    <mergeCell ref="A28:F28"/>
    <mergeCell ref="G13:AL13"/>
    <mergeCell ref="A9:F9"/>
    <mergeCell ref="A5:E5"/>
    <mergeCell ref="AV17:AZ17"/>
    <mergeCell ref="A23:F23"/>
    <mergeCell ref="AV10:AZ10"/>
    <mergeCell ref="AM18:AU18"/>
    <mergeCell ref="AV24:AZ24"/>
    <mergeCell ref="A30:F30"/>
    <mergeCell ref="AV33:AZ33"/>
    <mergeCell ref="AM8:AU8"/>
    <mergeCell ref="G15:AL15"/>
    <mergeCell ref="AM17:AU17"/>
    <mergeCell ref="A11:F11"/>
    <mergeCell ref="G24:AL24"/>
    <mergeCell ref="AM22:AU22"/>
    <mergeCell ref="G10:AL10"/>
    <mergeCell ref="AM15:AU15"/>
    <mergeCell ref="AV11:AZ11"/>
    <mergeCell ref="G8:AL8"/>
    <mergeCell ref="A25:F25"/>
    <mergeCell ref="A2:R2"/>
    <mergeCell ref="A32:F32"/>
    <mergeCell ref="G23:AL23"/>
    <mergeCell ref="A20:F20"/>
    <mergeCell ref="G7:AL7"/>
    <mergeCell ref="G38:AL38"/>
    <mergeCell ref="A29:F29"/>
    <mergeCell ref="A38:F38"/>
    <mergeCell ref="A13:F13"/>
    <mergeCell ref="A31:F31"/>
    <mergeCell ref="AI5:AZ5"/>
    <mergeCell ref="A15:F15"/>
    <mergeCell ref="AV9:AZ9"/>
    <mergeCell ref="G33:AL33"/>
    <mergeCell ref="A24:F24"/>
    <mergeCell ref="AV36:AZ36"/>
    <mergeCell ref="AV30:AZ30"/>
    <mergeCell ref="AM14:AU14"/>
    <mergeCell ref="AV20:AZ20"/>
    <mergeCell ref="AM28:AU28"/>
    <mergeCell ref="G35:AL35"/>
    <mergeCell ref="A7:F7"/>
    <mergeCell ref="G25:AL25"/>
    <mergeCell ref="A16:F16"/>
    <mergeCell ref="AM40:AU40"/>
    <mergeCell ref="AV31:AZ31"/>
    <mergeCell ref="G22:AL22"/>
    <mergeCell ref="AM24:AU24"/>
    <mergeCell ref="AV7:AZ7"/>
    <mergeCell ref="G31:AL31"/>
    <mergeCell ref="F5:Z5"/>
    <mergeCell ref="G12:AL12"/>
    <mergeCell ref="G21:AL21"/>
    <mergeCell ref="AM33:AU33"/>
    <mergeCell ref="AV19:AZ19"/>
    <mergeCell ref="AV34:AZ34"/>
    <mergeCell ref="A40:F40"/>
    <mergeCell ref="AV28:AZ28"/>
    <mergeCell ref="G9:AL9"/>
    <mergeCell ref="A27:F27"/>
    <mergeCell ref="A18:F18"/>
    <mergeCell ref="G11:AL11"/>
    <mergeCell ref="A33:F33"/>
    <mergeCell ref="AM10:AU10"/>
    <mergeCell ref="G39:AL39"/>
    <mergeCell ref="A22:F22"/>
    <mergeCell ref="A35:F35"/>
    <mergeCell ref="AV38:AZ38"/>
  </mergeCells>
  <pageMargins left="0.39375000000000004" right="0.39375000000000004" top="0.39375000000000004" bottom="0.39375000000000004" header="0.51181102362204689" footer="0.51181102362204689"/>
  <pageSetup paperSize="9" scale="94" orientation="portrait" useFirstPageNumber="1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40"/>
  <sheetViews>
    <sheetView workbookViewId="0">
      <selection activeCell="J23" sqref="J23"/>
    </sheetView>
  </sheetViews>
  <sheetFormatPr defaultRowHeight="12.75" x14ac:dyDescent="0.2"/>
  <cols>
    <col min="1" max="1" width="4.5703125" customWidth="1"/>
    <col min="2" max="2" width="23.7109375" customWidth="1"/>
    <col min="3" max="3" width="12.7109375" customWidth="1"/>
    <col min="4" max="4" width="7.7109375" customWidth="1"/>
    <col min="5" max="5" width="8" customWidth="1"/>
    <col min="6" max="6" width="9.42578125" customWidth="1"/>
    <col min="7" max="7" width="8.28515625" customWidth="1"/>
    <col min="8" max="8" width="10" customWidth="1"/>
    <col min="9" max="9" width="4.140625" customWidth="1"/>
  </cols>
  <sheetData>
    <row r="1" spans="1:11" ht="12.75" customHeight="1" x14ac:dyDescent="0.2">
      <c r="E1" s="51"/>
      <c r="F1" s="51" t="s">
        <v>189</v>
      </c>
      <c r="G1" s="51"/>
      <c r="H1" s="51"/>
    </row>
    <row r="2" spans="1:11" ht="12.75" customHeight="1" x14ac:dyDescent="0.2">
      <c r="F2" s="51" t="s">
        <v>190</v>
      </c>
      <c r="G2" s="51"/>
      <c r="H2" s="51"/>
      <c r="I2" s="51"/>
    </row>
    <row r="3" spans="1:11" ht="12.75" customHeight="1" x14ac:dyDescent="0.2">
      <c r="F3" s="51" t="s">
        <v>128</v>
      </c>
      <c r="G3" s="51"/>
      <c r="H3" s="51"/>
      <c r="I3" s="51"/>
    </row>
    <row r="4" spans="1:11" ht="12.75" customHeight="1" x14ac:dyDescent="0.2">
      <c r="F4" s="51" t="s">
        <v>191</v>
      </c>
      <c r="G4" s="51"/>
      <c r="H4" s="51"/>
      <c r="I4" s="51"/>
    </row>
    <row r="5" spans="1:11" ht="12.75" customHeight="1" x14ac:dyDescent="0.2">
      <c r="F5" s="51"/>
      <c r="G5" s="51"/>
      <c r="H5" s="51"/>
      <c r="I5" s="51"/>
    </row>
    <row r="6" spans="1:11" ht="12.75" customHeight="1" x14ac:dyDescent="0.2">
      <c r="F6" s="51" t="s">
        <v>192</v>
      </c>
      <c r="G6" s="51"/>
      <c r="H6" s="51"/>
      <c r="I6" s="51"/>
    </row>
    <row r="7" spans="1:11" ht="12.75" customHeight="1" x14ac:dyDescent="0.2"/>
    <row r="8" spans="1:11" ht="12.75" customHeight="1" x14ac:dyDescent="0.2"/>
    <row r="9" spans="1:11" ht="12.75" customHeight="1" x14ac:dyDescent="0.2">
      <c r="A9" s="133" t="s">
        <v>193</v>
      </c>
      <c r="B9" s="134"/>
      <c r="C9" s="134"/>
      <c r="D9" s="134"/>
      <c r="E9" s="134"/>
      <c r="F9" s="134"/>
      <c r="G9" s="134"/>
      <c r="H9" s="134"/>
    </row>
    <row r="10" spans="1:11" ht="12.75" customHeight="1" x14ac:dyDescent="0.2"/>
    <row r="11" spans="1:11" ht="12.75" customHeight="1" x14ac:dyDescent="0.2"/>
    <row r="12" spans="1:11" ht="12.75" customHeight="1" x14ac:dyDescent="0.2">
      <c r="A12" s="135" t="s">
        <v>194</v>
      </c>
      <c r="B12" s="134"/>
      <c r="C12" s="134"/>
      <c r="D12" s="134"/>
      <c r="E12" s="134"/>
      <c r="F12" s="134"/>
      <c r="G12" s="134"/>
      <c r="H12" s="134"/>
    </row>
    <row r="13" spans="1:11" ht="12.75" customHeight="1" x14ac:dyDescent="0.2">
      <c r="A13" s="135" t="str">
        <f>CONCATENATE("за ",данные!A1," месяц ",данные!B1)</f>
        <v>за февраль месяц  2026 года.</v>
      </c>
      <c r="B13" s="134"/>
      <c r="C13" s="134"/>
      <c r="D13" s="134"/>
      <c r="E13" s="134"/>
      <c r="F13" s="134"/>
      <c r="G13" s="134"/>
      <c r="H13" s="134"/>
    </row>
    <row r="14" spans="1:11" ht="12.75" customHeight="1" x14ac:dyDescent="0.2">
      <c r="A14" s="52"/>
      <c r="B14" s="52"/>
      <c r="C14" s="52"/>
      <c r="D14" s="52"/>
      <c r="E14" s="52"/>
      <c r="F14" s="52"/>
      <c r="G14" s="52"/>
      <c r="H14" s="52"/>
    </row>
    <row r="15" spans="1:11" ht="12.75" customHeight="1" x14ac:dyDescent="0.2"/>
    <row r="16" spans="1:11" ht="25.5" customHeight="1" x14ac:dyDescent="0.2">
      <c r="A16" s="53" t="s">
        <v>195</v>
      </c>
      <c r="B16" s="53" t="s">
        <v>196</v>
      </c>
      <c r="C16" s="53" t="s">
        <v>13</v>
      </c>
      <c r="D16" s="54" t="s">
        <v>197</v>
      </c>
      <c r="E16" s="54" t="s">
        <v>198</v>
      </c>
      <c r="F16" s="53" t="s">
        <v>199</v>
      </c>
      <c r="G16" s="53" t="s">
        <v>200</v>
      </c>
      <c r="H16" s="54" t="s">
        <v>201</v>
      </c>
      <c r="J16" s="54" t="s">
        <v>202</v>
      </c>
      <c r="K16" s="53" t="s">
        <v>203</v>
      </c>
    </row>
    <row r="17" spans="1:11" ht="12.75" customHeight="1" x14ac:dyDescent="0.2">
      <c r="A17" s="55">
        <v>1</v>
      </c>
      <c r="B17" s="55" t="s">
        <v>61</v>
      </c>
      <c r="C17" s="55" t="s">
        <v>62</v>
      </c>
      <c r="D17" s="55">
        <v>83727</v>
      </c>
      <c r="E17" s="55">
        <f>Горбуненко!AM36</f>
        <v>42</v>
      </c>
      <c r="F17" s="55">
        <v>30800</v>
      </c>
      <c r="G17" s="55">
        <v>75</v>
      </c>
      <c r="H17" s="55">
        <v>31</v>
      </c>
      <c r="J17" s="55">
        <f>Main!AS13</f>
        <v>42</v>
      </c>
      <c r="K17" s="55">
        <f t="shared" ref="K17:K30" si="0">J17-E17</f>
        <v>0</v>
      </c>
    </row>
    <row r="18" spans="1:11" ht="12.75" customHeight="1" x14ac:dyDescent="0.2">
      <c r="A18" s="55">
        <v>2</v>
      </c>
      <c r="B18" s="55" t="s">
        <v>63</v>
      </c>
      <c r="C18" s="55" t="s">
        <v>62</v>
      </c>
      <c r="D18" s="55">
        <v>89046</v>
      </c>
      <c r="E18" s="55">
        <f>Дулов!AM36</f>
        <v>47</v>
      </c>
      <c r="F18" s="55">
        <v>30800</v>
      </c>
      <c r="G18" s="55">
        <v>75</v>
      </c>
      <c r="H18" s="55">
        <v>36</v>
      </c>
      <c r="J18" s="55">
        <f>Main!AS14</f>
        <v>47</v>
      </c>
      <c r="K18" s="55">
        <f t="shared" si="0"/>
        <v>0</v>
      </c>
    </row>
    <row r="19" spans="1:11" ht="12.75" customHeight="1" x14ac:dyDescent="0.2">
      <c r="A19" s="55">
        <v>3</v>
      </c>
      <c r="B19" s="55" t="s">
        <v>64</v>
      </c>
      <c r="C19" s="55" t="s">
        <v>62</v>
      </c>
      <c r="D19" s="55">
        <v>31205</v>
      </c>
      <c r="E19" s="55">
        <f>Карпенко!AM36</f>
        <v>0</v>
      </c>
      <c r="F19" s="55">
        <v>30800</v>
      </c>
      <c r="G19" s="55">
        <v>75</v>
      </c>
      <c r="H19" s="55">
        <v>32</v>
      </c>
      <c r="J19" s="55" t="str">
        <f>Main!AS15</f>
        <v/>
      </c>
      <c r="K19" s="55" t="e">
        <f t="shared" si="0"/>
        <v>#VALUE!</v>
      </c>
    </row>
    <row r="20" spans="1:11" ht="12.75" customHeight="1" x14ac:dyDescent="0.2">
      <c r="A20" s="55">
        <v>4</v>
      </c>
      <c r="B20" s="55" t="s">
        <v>65</v>
      </c>
      <c r="C20" s="55" t="s">
        <v>66</v>
      </c>
      <c r="D20" s="55">
        <v>83448</v>
      </c>
      <c r="E20" s="55">
        <f>Колодный!AM36</f>
        <v>39</v>
      </c>
      <c r="F20" s="55">
        <v>28930</v>
      </c>
      <c r="G20" s="55">
        <v>75</v>
      </c>
      <c r="H20" s="55">
        <v>56</v>
      </c>
      <c r="J20" s="55">
        <f>Main!AS16</f>
        <v>39</v>
      </c>
      <c r="K20" s="55">
        <f t="shared" si="0"/>
        <v>0</v>
      </c>
    </row>
    <row r="21" spans="1:11" ht="12.75" customHeight="1" x14ac:dyDescent="0.2">
      <c r="A21" s="55">
        <v>5</v>
      </c>
      <c r="B21" s="55" t="s">
        <v>67</v>
      </c>
      <c r="C21" s="55" t="s">
        <v>62</v>
      </c>
      <c r="D21" s="55">
        <v>21782</v>
      </c>
      <c r="E21" s="55">
        <f>Котов!AM36</f>
        <v>47</v>
      </c>
      <c r="F21" s="55">
        <v>30800</v>
      </c>
      <c r="G21" s="55">
        <v>75</v>
      </c>
      <c r="H21" s="55">
        <v>32</v>
      </c>
      <c r="J21" s="55">
        <f>Main!AS17</f>
        <v>47</v>
      </c>
      <c r="K21" s="55">
        <f t="shared" si="0"/>
        <v>0</v>
      </c>
    </row>
    <row r="22" spans="1:11" ht="12.75" customHeight="1" x14ac:dyDescent="0.2">
      <c r="A22" s="55">
        <v>6</v>
      </c>
      <c r="B22" s="55" t="s">
        <v>68</v>
      </c>
      <c r="C22" s="55" t="s">
        <v>62</v>
      </c>
      <c r="D22" s="55">
        <v>90072</v>
      </c>
      <c r="E22" s="55">
        <f>Кривоконев!AM36</f>
        <v>40</v>
      </c>
      <c r="F22" s="55">
        <v>30800</v>
      </c>
      <c r="G22" s="55">
        <v>75</v>
      </c>
      <c r="H22" s="55">
        <v>31</v>
      </c>
      <c r="J22" s="55">
        <f>Main!AS18</f>
        <v>40</v>
      </c>
      <c r="K22" s="55">
        <f t="shared" si="0"/>
        <v>0</v>
      </c>
    </row>
    <row r="23" spans="1:11" ht="12.75" customHeight="1" x14ac:dyDescent="0.2">
      <c r="A23" s="55">
        <v>7</v>
      </c>
      <c r="B23" s="55" t="s">
        <v>69</v>
      </c>
      <c r="C23" s="55" t="s">
        <v>62</v>
      </c>
      <c r="D23" s="55">
        <v>63549</v>
      </c>
      <c r="E23" s="55">
        <f>'Лахин В'!AM36</f>
        <v>40</v>
      </c>
      <c r="F23" s="55">
        <v>30800</v>
      </c>
      <c r="G23" s="55">
        <v>75</v>
      </c>
      <c r="H23" s="55">
        <v>36</v>
      </c>
      <c r="J23" s="55">
        <f>Main!AS19</f>
        <v>40</v>
      </c>
      <c r="K23" s="55">
        <f t="shared" si="0"/>
        <v>0</v>
      </c>
    </row>
    <row r="24" spans="1:11" ht="12.75" customHeight="1" x14ac:dyDescent="0.2">
      <c r="A24" s="55">
        <v>8</v>
      </c>
      <c r="B24" s="55" t="s">
        <v>70</v>
      </c>
      <c r="C24" s="55" t="s">
        <v>62</v>
      </c>
      <c r="D24" s="55">
        <v>12377</v>
      </c>
      <c r="E24" s="55">
        <f>'Лахин С'!AM36</f>
        <v>40</v>
      </c>
      <c r="F24" s="55">
        <v>30800</v>
      </c>
      <c r="G24" s="55">
        <v>75</v>
      </c>
      <c r="H24" s="55">
        <v>36</v>
      </c>
      <c r="J24" s="55">
        <f>Main!AS20</f>
        <v>40</v>
      </c>
      <c r="K24" s="55">
        <f t="shared" si="0"/>
        <v>0</v>
      </c>
    </row>
    <row r="25" spans="1:11" ht="12.75" customHeight="1" x14ac:dyDescent="0.2">
      <c r="A25" s="55">
        <v>9</v>
      </c>
      <c r="B25" s="55" t="s">
        <v>71</v>
      </c>
      <c r="C25" s="55" t="s">
        <v>62</v>
      </c>
      <c r="D25" s="55">
        <v>63558</v>
      </c>
      <c r="E25" s="55">
        <f>Миньков!AM36</f>
        <v>0</v>
      </c>
      <c r="F25" s="55">
        <v>30800</v>
      </c>
      <c r="G25" s="55">
        <v>75</v>
      </c>
      <c r="H25" s="55">
        <v>28</v>
      </c>
      <c r="J25" s="55" t="str">
        <f>Main!AS21</f>
        <v/>
      </c>
      <c r="K25" s="55" t="e">
        <f t="shared" si="0"/>
        <v>#VALUE!</v>
      </c>
    </row>
    <row r="26" spans="1:11" ht="12.75" customHeight="1" x14ac:dyDescent="0.2">
      <c r="A26" s="55">
        <v>10</v>
      </c>
      <c r="B26" s="55" t="s">
        <v>72</v>
      </c>
      <c r="C26" s="55" t="s">
        <v>62</v>
      </c>
      <c r="D26" s="55">
        <v>31178</v>
      </c>
      <c r="E26" s="55">
        <f>Никонов!AM36</f>
        <v>40</v>
      </c>
      <c r="F26" s="55">
        <v>30800</v>
      </c>
      <c r="G26" s="55">
        <v>75</v>
      </c>
      <c r="H26" s="55">
        <v>28</v>
      </c>
      <c r="J26" s="55">
        <f>Main!AS22</f>
        <v>40</v>
      </c>
      <c r="K26" s="55">
        <f t="shared" si="0"/>
        <v>0</v>
      </c>
    </row>
    <row r="27" spans="1:11" ht="12.75" customHeight="1" x14ac:dyDescent="0.2">
      <c r="A27" s="55">
        <v>11</v>
      </c>
      <c r="B27" s="55" t="s">
        <v>73</v>
      </c>
      <c r="C27" s="55" t="s">
        <v>62</v>
      </c>
      <c r="D27" s="55">
        <v>21116</v>
      </c>
      <c r="E27" s="55">
        <f>Переверзев!AM36</f>
        <v>40</v>
      </c>
      <c r="F27" s="55">
        <v>30800</v>
      </c>
      <c r="G27" s="55">
        <v>75</v>
      </c>
      <c r="H27" s="55">
        <v>32</v>
      </c>
      <c r="J27" s="55">
        <f>Main!AS23</f>
        <v>40</v>
      </c>
      <c r="K27" s="55">
        <f t="shared" si="0"/>
        <v>0</v>
      </c>
    </row>
    <row r="28" spans="1:11" ht="12.75" customHeight="1" x14ac:dyDescent="0.2">
      <c r="A28" s="55">
        <v>12</v>
      </c>
      <c r="B28" s="55" t="s">
        <v>74</v>
      </c>
      <c r="C28" s="55" t="s">
        <v>66</v>
      </c>
      <c r="D28" s="55">
        <v>66051</v>
      </c>
      <c r="E28" s="55">
        <f>Табалин!AM36</f>
        <v>40</v>
      </c>
      <c r="F28" s="55">
        <v>28930</v>
      </c>
      <c r="G28" s="55">
        <v>75</v>
      </c>
      <c r="H28" s="55">
        <v>56</v>
      </c>
      <c r="J28" s="55">
        <f>Main!AS24</f>
        <v>40</v>
      </c>
      <c r="K28" s="55">
        <f t="shared" si="0"/>
        <v>0</v>
      </c>
    </row>
    <row r="29" spans="1:11" ht="12.75" customHeight="1" x14ac:dyDescent="0.2">
      <c r="A29" s="55">
        <v>13</v>
      </c>
      <c r="B29" s="55" t="s">
        <v>75</v>
      </c>
      <c r="C29" s="55" t="s">
        <v>62</v>
      </c>
      <c r="D29" s="55">
        <v>16265</v>
      </c>
      <c r="E29" s="55">
        <f>Толстиков!AM36</f>
        <v>32</v>
      </c>
      <c r="F29" s="55">
        <v>30800</v>
      </c>
      <c r="G29" s="55">
        <v>75</v>
      </c>
      <c r="H29" s="55">
        <v>30</v>
      </c>
      <c r="J29" s="55">
        <f>Main!AS25</f>
        <v>32</v>
      </c>
      <c r="K29" s="55">
        <f t="shared" si="0"/>
        <v>0</v>
      </c>
    </row>
    <row r="30" spans="1:11" ht="12.75" customHeight="1" x14ac:dyDescent="0.2">
      <c r="A30" s="55">
        <v>14</v>
      </c>
      <c r="B30" s="55" t="s">
        <v>76</v>
      </c>
      <c r="C30" s="55" t="s">
        <v>66</v>
      </c>
      <c r="D30" s="55">
        <v>83322</v>
      </c>
      <c r="E30" s="55">
        <f>Федюшкин!AM36</f>
        <v>54</v>
      </c>
      <c r="F30" s="55">
        <v>28930</v>
      </c>
      <c r="G30" s="55">
        <v>75</v>
      </c>
      <c r="H30" s="55">
        <v>56</v>
      </c>
      <c r="J30" s="55">
        <f>Main!AS26</f>
        <v>54</v>
      </c>
      <c r="K30" s="55">
        <f t="shared" si="0"/>
        <v>0</v>
      </c>
    </row>
    <row r="31" spans="1:11" ht="12.75" customHeight="1" x14ac:dyDescent="0.2"/>
    <row r="32" spans="1:11" ht="38.25" customHeight="1" x14ac:dyDescent="0.2">
      <c r="B32" s="56" t="s">
        <v>204</v>
      </c>
      <c r="C32" s="3"/>
      <c r="D32" s="3"/>
      <c r="E32" s="3"/>
      <c r="F32" t="s">
        <v>205</v>
      </c>
    </row>
    <row r="33" spans="2:6" ht="12.75" customHeight="1" x14ac:dyDescent="0.2"/>
    <row r="34" spans="2:6" ht="12.75" customHeight="1" x14ac:dyDescent="0.2"/>
    <row r="35" spans="2:6" ht="12.75" customHeight="1" x14ac:dyDescent="0.2">
      <c r="B35" t="s">
        <v>206</v>
      </c>
      <c r="C35" s="3"/>
      <c r="D35" s="3"/>
      <c r="E35" s="3"/>
      <c r="F35" t="s">
        <v>207</v>
      </c>
    </row>
    <row r="36" spans="2:6" ht="12.75" customHeight="1" x14ac:dyDescent="0.2"/>
    <row r="37" spans="2:6" ht="12.75" customHeight="1" x14ac:dyDescent="0.2"/>
    <row r="38" spans="2:6" ht="12.75" customHeight="1" x14ac:dyDescent="0.2"/>
    <row r="39" spans="2:6" ht="12.75" customHeight="1" x14ac:dyDescent="0.2"/>
    <row r="40" spans="2:6" ht="12.75" customHeight="1" x14ac:dyDescent="0.2"/>
  </sheetData>
  <mergeCells count="3">
    <mergeCell ref="A9:H9"/>
    <mergeCell ref="A13:H13"/>
    <mergeCell ref="A12:H12"/>
  </mergeCells>
  <pageMargins left="0.70078740157480324" right="0.70078740157480324" top="0.75196850393700787" bottom="0.75196850393700787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K30"/>
  <sheetViews>
    <sheetView view="pageBreakPreview" workbookViewId="0"/>
  </sheetViews>
  <sheetFormatPr defaultRowHeight="12.75" x14ac:dyDescent="0.2"/>
  <cols>
    <col min="1" max="1" width="4.5703125" customWidth="1"/>
    <col min="2" max="2" width="22.42578125" customWidth="1"/>
    <col min="3" max="3" width="12.7109375" customWidth="1"/>
    <col min="4" max="4" width="7.7109375" customWidth="1"/>
    <col min="5" max="5" width="8" customWidth="1"/>
    <col min="6" max="6" width="9.42578125" customWidth="1"/>
    <col min="7" max="7" width="8.28515625" customWidth="1"/>
    <col min="8" max="8" width="10" customWidth="1"/>
    <col min="9" max="9" width="3" customWidth="1"/>
    <col min="10" max="10" width="8.7109375" customWidth="1"/>
  </cols>
  <sheetData>
    <row r="1" spans="1:11" ht="12.75" customHeight="1" x14ac:dyDescent="0.2">
      <c r="E1" s="51"/>
      <c r="F1" s="51" t="s">
        <v>189</v>
      </c>
      <c r="G1" s="51"/>
      <c r="H1" s="51"/>
    </row>
    <row r="2" spans="1:11" ht="12.75" customHeight="1" x14ac:dyDescent="0.2">
      <c r="F2" s="51" t="s">
        <v>190</v>
      </c>
      <c r="G2" s="51"/>
      <c r="H2" s="51"/>
      <c r="I2" s="51"/>
    </row>
    <row r="3" spans="1:11" ht="12.75" customHeight="1" x14ac:dyDescent="0.2">
      <c r="F3" s="51" t="s">
        <v>159</v>
      </c>
      <c r="G3" s="51"/>
      <c r="H3" s="51"/>
      <c r="I3" s="51"/>
    </row>
    <row r="4" spans="1:11" ht="12.75" customHeight="1" x14ac:dyDescent="0.2">
      <c r="F4" s="51" t="s">
        <v>191</v>
      </c>
      <c r="G4" s="51"/>
      <c r="H4" s="51"/>
      <c r="I4" s="51"/>
    </row>
    <row r="5" spans="1:11" ht="12.75" customHeight="1" x14ac:dyDescent="0.2">
      <c r="F5" s="51"/>
      <c r="G5" s="51"/>
      <c r="H5" s="51"/>
      <c r="I5" s="51"/>
    </row>
    <row r="6" spans="1:11" ht="12.75" customHeight="1" x14ac:dyDescent="0.2">
      <c r="F6" s="51" t="s">
        <v>208</v>
      </c>
      <c r="G6" s="51"/>
      <c r="H6" s="51"/>
      <c r="I6" s="51"/>
    </row>
    <row r="8" spans="1:11" ht="12.75" customHeight="1" x14ac:dyDescent="0.2">
      <c r="A8" s="133" t="s">
        <v>193</v>
      </c>
      <c r="B8" s="134"/>
      <c r="C8" s="134"/>
      <c r="D8" s="134"/>
      <c r="E8" s="134"/>
      <c r="F8" s="134"/>
      <c r="G8" s="134"/>
      <c r="H8" s="134"/>
    </row>
    <row r="11" spans="1:11" ht="12.75" customHeight="1" x14ac:dyDescent="0.2">
      <c r="A11" s="135" t="s">
        <v>194</v>
      </c>
      <c r="B11" s="134"/>
      <c r="C11" s="134"/>
      <c r="D11" s="134"/>
      <c r="E11" s="134"/>
      <c r="F11" s="134"/>
      <c r="G11" s="134"/>
      <c r="H11" s="134"/>
    </row>
    <row r="12" spans="1:11" ht="12.75" customHeight="1" x14ac:dyDescent="0.2">
      <c r="A12" s="135" t="str">
        <f>CONCATENATE("за ",данные!A1," месяц ",данные!B1)</f>
        <v>за февраль месяц  2026 года.</v>
      </c>
      <c r="B12" s="134"/>
      <c r="C12" s="134"/>
      <c r="D12" s="134"/>
      <c r="E12" s="134"/>
      <c r="F12" s="134"/>
      <c r="G12" s="134"/>
      <c r="H12" s="134"/>
    </row>
    <row r="13" spans="1:11" ht="12.75" customHeight="1" x14ac:dyDescent="0.2">
      <c r="A13" s="52"/>
      <c r="B13" s="52"/>
      <c r="C13" s="52"/>
      <c r="D13" s="52"/>
      <c r="E13" s="52"/>
      <c r="F13" s="52"/>
      <c r="G13" s="52"/>
      <c r="H13" s="52"/>
    </row>
    <row r="15" spans="1:11" ht="25.5" customHeight="1" x14ac:dyDescent="0.2">
      <c r="A15" s="53" t="s">
        <v>195</v>
      </c>
      <c r="B15" s="53" t="s">
        <v>196</v>
      </c>
      <c r="C15" s="53" t="s">
        <v>13</v>
      </c>
      <c r="D15" s="54" t="s">
        <v>197</v>
      </c>
      <c r="E15" s="54" t="s">
        <v>198</v>
      </c>
      <c r="F15" s="53" t="s">
        <v>199</v>
      </c>
      <c r="G15" s="53" t="s">
        <v>200</v>
      </c>
      <c r="H15" s="54" t="s">
        <v>201</v>
      </c>
      <c r="J15" s="54" t="s">
        <v>202</v>
      </c>
      <c r="K15" s="53" t="s">
        <v>203</v>
      </c>
    </row>
    <row r="16" spans="1:11" ht="12.75" customHeight="1" x14ac:dyDescent="0.2">
      <c r="A16" s="55">
        <v>1</v>
      </c>
      <c r="B16" s="55" t="s">
        <v>83</v>
      </c>
      <c r="C16" t="s">
        <v>62</v>
      </c>
      <c r="D16" s="57">
        <v>39962</v>
      </c>
      <c r="E16" s="56">
        <f>Климов!AM36</f>
        <v>36</v>
      </c>
      <c r="F16" s="55">
        <v>28930</v>
      </c>
      <c r="G16">
        <v>75</v>
      </c>
      <c r="H16" s="57">
        <v>56</v>
      </c>
      <c r="J16" s="55">
        <f>Main!AS31</f>
        <v>36</v>
      </c>
      <c r="K16" s="55">
        <f t="shared" ref="K16:K17" si="0">J16-E16</f>
        <v>0</v>
      </c>
    </row>
    <row r="17" spans="1:11" ht="12.75" customHeight="1" x14ac:dyDescent="0.2">
      <c r="A17" s="55">
        <v>2</v>
      </c>
      <c r="B17" s="55" t="s">
        <v>84</v>
      </c>
      <c r="C17" s="55" t="s">
        <v>62</v>
      </c>
      <c r="D17" s="55">
        <v>85743</v>
      </c>
      <c r="E17" s="55">
        <f>Рудиков!AM36</f>
        <v>40</v>
      </c>
      <c r="F17" s="55">
        <v>30800</v>
      </c>
      <c r="G17" s="55">
        <v>75</v>
      </c>
      <c r="H17" s="55">
        <v>28</v>
      </c>
      <c r="J17" s="55">
        <f>Main!AS32</f>
        <v>40</v>
      </c>
      <c r="K17" s="55">
        <f t="shared" si="0"/>
        <v>0</v>
      </c>
    </row>
    <row r="18" spans="1:11" ht="12.75" customHeight="1" x14ac:dyDescent="0.2"/>
    <row r="19" spans="1:11" ht="12.75" customHeight="1" x14ac:dyDescent="0.2"/>
    <row r="20" spans="1:11" ht="38.25" customHeight="1" x14ac:dyDescent="0.2">
      <c r="B20" s="56" t="s">
        <v>204</v>
      </c>
      <c r="C20" s="3"/>
      <c r="D20" s="3"/>
      <c r="E20" s="3"/>
      <c r="F20" t="s">
        <v>205</v>
      </c>
    </row>
    <row r="21" spans="1:11" ht="12.75" customHeight="1" x14ac:dyDescent="0.2"/>
    <row r="22" spans="1:11" ht="12.75" customHeight="1" x14ac:dyDescent="0.2"/>
    <row r="23" spans="1:11" ht="12.75" customHeight="1" x14ac:dyDescent="0.2">
      <c r="B23" t="s">
        <v>206</v>
      </c>
      <c r="C23" s="3"/>
      <c r="D23" s="3"/>
      <c r="E23" s="3"/>
      <c r="F23" t="s">
        <v>207</v>
      </c>
    </row>
    <row r="24" spans="1:11" ht="12.75" customHeight="1" x14ac:dyDescent="0.2"/>
    <row r="25" spans="1:11" ht="12.75" customHeight="1" x14ac:dyDescent="0.2"/>
    <row r="26" spans="1:11" ht="12.75" customHeight="1" x14ac:dyDescent="0.2"/>
    <row r="27" spans="1:11" ht="12.75" customHeight="1" x14ac:dyDescent="0.2"/>
    <row r="28" spans="1:11" ht="12.75" customHeight="1" x14ac:dyDescent="0.2"/>
    <row r="29" spans="1:11" ht="12.75" customHeight="1" x14ac:dyDescent="0.2"/>
    <row r="30" spans="1:11" ht="12.75" customHeight="1" x14ac:dyDescent="0.2"/>
  </sheetData>
  <mergeCells count="3">
    <mergeCell ref="A12:H12"/>
    <mergeCell ref="A8:H8"/>
    <mergeCell ref="A11:H11"/>
  </mergeCells>
  <pageMargins left="0.70078740157480324" right="0.70078740157480324" top="0.75196850393700787" bottom="0.75196850393700787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B1:F42"/>
  <sheetViews>
    <sheetView topLeftCell="A4" workbookViewId="0"/>
  </sheetViews>
  <sheetFormatPr defaultRowHeight="12.75" x14ac:dyDescent="0.2"/>
  <cols>
    <col min="1" max="1" width="2.28515625" customWidth="1"/>
    <col min="2" max="2" width="3.140625" customWidth="1"/>
    <col min="3" max="3" width="36" customWidth="1"/>
    <col min="4" max="4" width="25.140625" customWidth="1"/>
    <col min="5" max="5" width="9.140625" customWidth="1"/>
    <col min="6" max="6" width="17.5703125" customWidth="1"/>
    <col min="7" max="7" width="9.140625" customWidth="1"/>
  </cols>
  <sheetData>
    <row r="1" spans="2:6" ht="12.75" customHeight="1" x14ac:dyDescent="0.2">
      <c r="D1" s="58"/>
      <c r="E1" s="51" t="s">
        <v>189</v>
      </c>
      <c r="F1" s="58"/>
    </row>
    <row r="2" spans="2:6" ht="12.75" customHeight="1" x14ac:dyDescent="0.2">
      <c r="D2" s="59"/>
      <c r="E2" s="51" t="s">
        <v>190</v>
      </c>
      <c r="F2" s="59"/>
    </row>
    <row r="3" spans="2:6" ht="12.75" customHeight="1" x14ac:dyDescent="0.2">
      <c r="D3" s="59"/>
      <c r="E3" s="51" t="s">
        <v>128</v>
      </c>
      <c r="F3" s="59"/>
    </row>
    <row r="4" spans="2:6" ht="12.75" customHeight="1" x14ac:dyDescent="0.2">
      <c r="D4" s="59"/>
      <c r="E4" s="51" t="s">
        <v>191</v>
      </c>
      <c r="F4" s="59"/>
    </row>
    <row r="5" spans="2:6" ht="12.75" customHeight="1" x14ac:dyDescent="0.2">
      <c r="D5" s="59"/>
      <c r="E5" s="51"/>
      <c r="F5" s="59"/>
    </row>
    <row r="6" spans="2:6" ht="12.75" customHeight="1" x14ac:dyDescent="0.2">
      <c r="D6" s="59"/>
      <c r="E6" s="51" t="s">
        <v>192</v>
      </c>
      <c r="F6" s="59"/>
    </row>
    <row r="7" spans="2:6" ht="12.75" customHeight="1" x14ac:dyDescent="0.2"/>
    <row r="8" spans="2:6" ht="16.5" customHeight="1" x14ac:dyDescent="0.25">
      <c r="B8" s="137" t="s">
        <v>209</v>
      </c>
      <c r="C8" s="134"/>
      <c r="D8" s="134"/>
      <c r="E8" s="134"/>
      <c r="F8" s="134"/>
    </row>
    <row r="9" spans="2:6" ht="16.5" customHeight="1" x14ac:dyDescent="0.25">
      <c r="B9" s="137" t="s">
        <v>210</v>
      </c>
      <c r="C9" s="134"/>
      <c r="D9" s="134"/>
      <c r="E9" s="134"/>
      <c r="F9" s="134"/>
    </row>
    <row r="10" spans="2:6" ht="16.5" customHeight="1" x14ac:dyDescent="0.25">
      <c r="B10" s="136" t="str">
        <f>CONCATENATE("за ",данные!A1," месяц ",данные!B1)</f>
        <v>за февраль месяц  2026 года.</v>
      </c>
      <c r="C10" s="134"/>
      <c r="D10" s="134"/>
      <c r="E10" s="134"/>
      <c r="F10" s="134"/>
    </row>
    <row r="11" spans="2:6" ht="16.5" customHeight="1" x14ac:dyDescent="0.25">
      <c r="B11" s="60"/>
      <c r="C11" s="60"/>
      <c r="D11" s="60"/>
      <c r="E11" s="60"/>
      <c r="F11" s="60"/>
    </row>
    <row r="12" spans="2:6" ht="33" customHeight="1" x14ac:dyDescent="0.25">
      <c r="B12" s="61" t="s">
        <v>195</v>
      </c>
      <c r="C12" s="61" t="s">
        <v>196</v>
      </c>
      <c r="D12" s="61" t="s">
        <v>13</v>
      </c>
      <c r="E12" s="62" t="s">
        <v>197</v>
      </c>
      <c r="F12" s="62" t="s">
        <v>211</v>
      </c>
    </row>
    <row r="13" spans="2:6" ht="16.5" customHeight="1" x14ac:dyDescent="0.25">
      <c r="B13" s="63">
        <v>1</v>
      </c>
      <c r="C13" s="63" t="s">
        <v>61</v>
      </c>
      <c r="D13" s="63" t="s">
        <v>212</v>
      </c>
      <c r="E13" s="63">
        <v>83727</v>
      </c>
      <c r="F13" s="64">
        <v>1800</v>
      </c>
    </row>
    <row r="14" spans="2:6" ht="16.5" customHeight="1" x14ac:dyDescent="0.25">
      <c r="B14" s="63">
        <v>2</v>
      </c>
      <c r="C14" s="63" t="s">
        <v>63</v>
      </c>
      <c r="D14" s="63" t="s">
        <v>212</v>
      </c>
      <c r="E14" s="63">
        <v>89046</v>
      </c>
      <c r="F14" s="64">
        <v>1800</v>
      </c>
    </row>
    <row r="15" spans="2:6" ht="16.5" customHeight="1" x14ac:dyDescent="0.25">
      <c r="B15" s="63">
        <v>3</v>
      </c>
      <c r="C15" s="63" t="s">
        <v>64</v>
      </c>
      <c r="D15" s="60" t="s">
        <v>213</v>
      </c>
      <c r="E15" s="63">
        <v>31205</v>
      </c>
      <c r="F15" s="64">
        <v>2000</v>
      </c>
    </row>
    <row r="16" spans="2:6" ht="16.5" customHeight="1" x14ac:dyDescent="0.25">
      <c r="B16" s="63">
        <v>4</v>
      </c>
      <c r="C16" s="63" t="s">
        <v>67</v>
      </c>
      <c r="D16" s="63" t="s">
        <v>212</v>
      </c>
      <c r="E16" s="63">
        <v>21782</v>
      </c>
      <c r="F16" s="64">
        <v>1800</v>
      </c>
    </row>
    <row r="17" spans="2:6" ht="16.5" customHeight="1" x14ac:dyDescent="0.25">
      <c r="B17" s="63">
        <v>5</v>
      </c>
      <c r="C17" s="63" t="s">
        <v>68</v>
      </c>
      <c r="D17" s="63" t="s">
        <v>212</v>
      </c>
      <c r="E17" s="63">
        <v>90072</v>
      </c>
      <c r="F17" s="64">
        <v>1800</v>
      </c>
    </row>
    <row r="18" spans="2:6" ht="16.5" customHeight="1" x14ac:dyDescent="0.25">
      <c r="B18" s="63">
        <v>6</v>
      </c>
      <c r="C18" s="63" t="s">
        <v>69</v>
      </c>
      <c r="D18" s="63" t="s">
        <v>212</v>
      </c>
      <c r="E18" s="63">
        <v>63549</v>
      </c>
      <c r="F18" s="64">
        <v>1800</v>
      </c>
    </row>
    <row r="19" spans="2:6" ht="16.5" customHeight="1" x14ac:dyDescent="0.25">
      <c r="B19" s="63">
        <v>7</v>
      </c>
      <c r="C19" s="63" t="s">
        <v>70</v>
      </c>
      <c r="D19" s="60" t="s">
        <v>212</v>
      </c>
      <c r="E19" s="63">
        <v>12377</v>
      </c>
      <c r="F19" s="64">
        <v>1800</v>
      </c>
    </row>
    <row r="20" spans="2:6" ht="16.5" customHeight="1" x14ac:dyDescent="0.25">
      <c r="B20" s="63">
        <v>8</v>
      </c>
      <c r="C20" s="63" t="s">
        <v>71</v>
      </c>
      <c r="D20" s="63" t="s">
        <v>212</v>
      </c>
      <c r="E20" s="63">
        <v>63558</v>
      </c>
      <c r="F20" s="64">
        <v>1800</v>
      </c>
    </row>
    <row r="21" spans="2:6" ht="16.5" customHeight="1" x14ac:dyDescent="0.25">
      <c r="B21" s="63">
        <v>9</v>
      </c>
      <c r="C21" s="63" t="s">
        <v>72</v>
      </c>
      <c r="D21" s="60" t="s">
        <v>213</v>
      </c>
      <c r="E21" s="63">
        <v>31178</v>
      </c>
      <c r="F21" s="64">
        <v>1800</v>
      </c>
    </row>
    <row r="22" spans="2:6" ht="16.5" customHeight="1" x14ac:dyDescent="0.25">
      <c r="B22" s="63">
        <v>10</v>
      </c>
      <c r="C22" s="63" t="s">
        <v>73</v>
      </c>
      <c r="D22" s="63" t="s">
        <v>212</v>
      </c>
      <c r="E22" s="63">
        <v>21116</v>
      </c>
      <c r="F22" s="64">
        <v>1800</v>
      </c>
    </row>
    <row r="23" spans="2:6" ht="16.5" customHeight="1" x14ac:dyDescent="0.25">
      <c r="B23" s="63">
        <v>11</v>
      </c>
      <c r="C23" s="63" t="s">
        <v>75</v>
      </c>
      <c r="D23" s="60" t="s">
        <v>212</v>
      </c>
      <c r="E23" s="63">
        <v>16265</v>
      </c>
      <c r="F23" s="64">
        <v>1800</v>
      </c>
    </row>
    <row r="24" spans="2:6" ht="16.5" customHeight="1" x14ac:dyDescent="0.25">
      <c r="B24" s="138" t="s">
        <v>214</v>
      </c>
      <c r="C24" s="92"/>
      <c r="D24" s="92"/>
      <c r="E24" s="93"/>
      <c r="F24" s="65">
        <v>20000</v>
      </c>
    </row>
    <row r="25" spans="2:6" ht="33" customHeight="1" x14ac:dyDescent="0.25">
      <c r="B25" s="60"/>
      <c r="C25" s="66" t="s">
        <v>215</v>
      </c>
      <c r="D25" s="67"/>
      <c r="E25" s="60" t="s">
        <v>216</v>
      </c>
      <c r="F25" s="60"/>
    </row>
    <row r="26" spans="2:6" ht="12.75" customHeight="1" x14ac:dyDescent="0.25">
      <c r="B26" s="60"/>
      <c r="C26" s="68"/>
      <c r="D26" s="68"/>
      <c r="E26" s="60"/>
      <c r="F26" s="60"/>
    </row>
    <row r="27" spans="2:6" ht="33" customHeight="1" x14ac:dyDescent="0.25">
      <c r="B27" s="60"/>
      <c r="C27" s="66" t="s">
        <v>217</v>
      </c>
      <c r="D27" s="67"/>
      <c r="E27" s="60" t="s">
        <v>77</v>
      </c>
      <c r="F27" s="60"/>
    </row>
    <row r="28" spans="2:6" ht="16.5" customHeight="1" x14ac:dyDescent="0.25">
      <c r="B28" s="60"/>
      <c r="C28" s="60"/>
      <c r="D28" s="60"/>
      <c r="E28" s="60"/>
      <c r="F28" s="60"/>
    </row>
    <row r="29" spans="2:6" ht="16.5" customHeight="1" x14ac:dyDescent="0.25">
      <c r="B29" s="60"/>
      <c r="C29" s="60"/>
      <c r="D29" s="60"/>
      <c r="E29" s="60"/>
      <c r="F29" s="60"/>
    </row>
    <row r="30" spans="2:6" ht="16.5" customHeight="1" x14ac:dyDescent="0.25">
      <c r="B30" s="60"/>
      <c r="C30" s="69" t="s">
        <v>218</v>
      </c>
      <c r="D30" s="67"/>
      <c r="E30" s="60" t="s">
        <v>219</v>
      </c>
      <c r="F30" s="60"/>
    </row>
    <row r="31" spans="2:6" ht="12.75" customHeight="1" x14ac:dyDescent="0.2"/>
    <row r="32" spans="2:6" ht="12.75" customHeight="1" x14ac:dyDescent="0.2"/>
    <row r="33" spans="6:6" ht="12.75" customHeight="1" x14ac:dyDescent="0.2"/>
    <row r="34" spans="6:6" ht="12.75" customHeight="1" x14ac:dyDescent="0.2">
      <c r="F34" s="70">
        <v>22000</v>
      </c>
    </row>
    <row r="35" spans="6:6" ht="12.75" customHeight="1" x14ac:dyDescent="0.2"/>
    <row r="36" spans="6:6" ht="12.75" customHeight="1" x14ac:dyDescent="0.2"/>
    <row r="38" spans="6:6" ht="12.75" customHeight="1" x14ac:dyDescent="0.2"/>
    <row r="39" spans="6:6" ht="12.75" customHeight="1" x14ac:dyDescent="0.2"/>
    <row r="40" spans="6:6" ht="12.75" customHeight="1" x14ac:dyDescent="0.2"/>
    <row r="41" spans="6:6" ht="12.75" customHeight="1" x14ac:dyDescent="0.2"/>
    <row r="42" spans="6:6" ht="12.75" customHeight="1" x14ac:dyDescent="0.2"/>
  </sheetData>
  <mergeCells count="4">
    <mergeCell ref="B10:F10"/>
    <mergeCell ref="B9:F9"/>
    <mergeCell ref="B24:E24"/>
    <mergeCell ref="B8:F8"/>
  </mergeCells>
  <pageMargins left="1" right="1" top="1" bottom="1" header="0.3" footer="0.3"/>
  <pageSetup paperSize="9" scale="88" fitToHeight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B1:F28"/>
  <sheetViews>
    <sheetView workbookViewId="0"/>
  </sheetViews>
  <sheetFormatPr defaultRowHeight="12.75" x14ac:dyDescent="0.2"/>
  <cols>
    <col min="1" max="1" width="3.42578125" customWidth="1"/>
    <col min="2" max="2" width="3.28515625" customWidth="1"/>
    <col min="3" max="3" width="36" customWidth="1"/>
    <col min="4" max="4" width="22.85546875" customWidth="1"/>
    <col min="5" max="5" width="9.140625" customWidth="1"/>
    <col min="6" max="6" width="17.140625" customWidth="1"/>
    <col min="7" max="7" width="9.140625" customWidth="1"/>
  </cols>
  <sheetData>
    <row r="1" spans="2:6" ht="12.75" customHeight="1" x14ac:dyDescent="0.25">
      <c r="B1" s="60"/>
      <c r="C1" s="60"/>
      <c r="D1" s="71"/>
      <c r="E1" s="51" t="s">
        <v>189</v>
      </c>
      <c r="F1" s="71"/>
    </row>
    <row r="2" spans="2:6" ht="12.75" customHeight="1" x14ac:dyDescent="0.25">
      <c r="B2" s="60"/>
      <c r="C2" s="60"/>
      <c r="D2" s="72"/>
      <c r="E2" s="51" t="s">
        <v>190</v>
      </c>
      <c r="F2" s="72"/>
    </row>
    <row r="3" spans="2:6" ht="12.75" customHeight="1" x14ac:dyDescent="0.25">
      <c r="B3" s="60"/>
      <c r="C3" s="60"/>
      <c r="D3" s="72"/>
      <c r="E3" s="51" t="s">
        <v>159</v>
      </c>
      <c r="F3" s="72"/>
    </row>
    <row r="4" spans="2:6" ht="12.75" customHeight="1" x14ac:dyDescent="0.25">
      <c r="B4" s="60"/>
      <c r="C4" s="60"/>
      <c r="D4" s="72"/>
      <c r="E4" s="51" t="s">
        <v>191</v>
      </c>
      <c r="F4" s="72"/>
    </row>
    <row r="5" spans="2:6" ht="12.75" customHeight="1" x14ac:dyDescent="0.25">
      <c r="B5" s="60"/>
      <c r="C5" s="60"/>
      <c r="D5" s="72"/>
      <c r="E5" s="51"/>
      <c r="F5" s="72"/>
    </row>
    <row r="6" spans="2:6" ht="12.75" customHeight="1" x14ac:dyDescent="0.25">
      <c r="B6" s="60"/>
      <c r="C6" s="60"/>
      <c r="D6" s="72"/>
      <c r="E6" s="51" t="s">
        <v>192</v>
      </c>
      <c r="F6" s="72"/>
    </row>
    <row r="7" spans="2:6" ht="16.5" customHeight="1" x14ac:dyDescent="0.25">
      <c r="B7" s="60"/>
      <c r="C7" s="60"/>
      <c r="D7" s="60"/>
      <c r="E7" s="60"/>
      <c r="F7" s="60"/>
    </row>
    <row r="8" spans="2:6" ht="12.75" customHeight="1" x14ac:dyDescent="0.25">
      <c r="B8" s="137" t="s">
        <v>209</v>
      </c>
      <c r="C8" s="134"/>
      <c r="D8" s="134"/>
      <c r="E8" s="134"/>
      <c r="F8" s="134"/>
    </row>
    <row r="9" spans="2:6" ht="16.5" customHeight="1" x14ac:dyDescent="0.25">
      <c r="B9" s="137" t="s">
        <v>210</v>
      </c>
      <c r="C9" s="134"/>
      <c r="D9" s="134"/>
      <c r="E9" s="134"/>
      <c r="F9" s="134"/>
    </row>
    <row r="10" spans="2:6" ht="12.75" customHeight="1" x14ac:dyDescent="0.25">
      <c r="B10" s="136" t="str">
        <f>CONCATENATE("за ",данные!A1," месяц ",данные!B1)</f>
        <v>за февраль месяц  2026 года.</v>
      </c>
      <c r="C10" s="134"/>
      <c r="D10" s="134"/>
      <c r="E10" s="134"/>
      <c r="F10" s="134"/>
    </row>
    <row r="11" spans="2:6" ht="16.5" customHeight="1" x14ac:dyDescent="0.25">
      <c r="B11" s="60"/>
      <c r="C11" s="60"/>
      <c r="D11" s="60"/>
      <c r="E11" s="60"/>
      <c r="F11" s="60"/>
    </row>
    <row r="12" spans="2:6" ht="33" customHeight="1" x14ac:dyDescent="0.25">
      <c r="B12" s="61" t="s">
        <v>195</v>
      </c>
      <c r="C12" s="61" t="s">
        <v>196</v>
      </c>
      <c r="D12" s="61" t="s">
        <v>13</v>
      </c>
      <c r="E12" s="62" t="s">
        <v>197</v>
      </c>
      <c r="F12" s="62" t="s">
        <v>211</v>
      </c>
    </row>
    <row r="13" spans="2:6" ht="16.5" customHeight="1" x14ac:dyDescent="0.25">
      <c r="B13" s="63">
        <v>1</v>
      </c>
      <c r="C13" s="63" t="s">
        <v>84</v>
      </c>
      <c r="D13" s="63" t="s">
        <v>212</v>
      </c>
      <c r="E13" s="63">
        <v>85743</v>
      </c>
      <c r="F13" s="64">
        <v>2000</v>
      </c>
    </row>
    <row r="14" spans="2:6" ht="16.5" customHeight="1" x14ac:dyDescent="0.25">
      <c r="B14" s="138" t="s">
        <v>214</v>
      </c>
      <c r="C14" s="92"/>
      <c r="D14" s="92"/>
      <c r="E14" s="93"/>
      <c r="F14" s="65">
        <v>2000</v>
      </c>
    </row>
    <row r="15" spans="2:6" ht="33" customHeight="1" x14ac:dyDescent="0.25">
      <c r="B15" s="60"/>
      <c r="C15" s="66" t="s">
        <v>215</v>
      </c>
      <c r="D15" s="67"/>
      <c r="E15" s="60" t="s">
        <v>216</v>
      </c>
      <c r="F15" s="60"/>
    </row>
    <row r="16" spans="2:6" ht="12.75" customHeight="1" x14ac:dyDescent="0.25">
      <c r="B16" s="60"/>
      <c r="C16" s="68"/>
      <c r="D16" s="68"/>
      <c r="E16" s="60"/>
      <c r="F16" s="60"/>
    </row>
    <row r="17" spans="2:6" ht="33" customHeight="1" x14ac:dyDescent="0.25">
      <c r="B17" s="60"/>
      <c r="C17" s="66" t="s">
        <v>217</v>
      </c>
      <c r="D17" s="67"/>
      <c r="E17" s="60" t="s">
        <v>77</v>
      </c>
      <c r="F17" s="60"/>
    </row>
    <row r="18" spans="2:6" ht="16.5" customHeight="1" x14ac:dyDescent="0.25">
      <c r="B18" s="60"/>
      <c r="C18" s="60"/>
      <c r="D18" s="60"/>
      <c r="E18" s="60"/>
      <c r="F18" s="60"/>
    </row>
    <row r="19" spans="2:6" ht="16.5" customHeight="1" x14ac:dyDescent="0.25">
      <c r="B19" s="60"/>
      <c r="C19" s="60"/>
      <c r="D19" s="60"/>
      <c r="E19" s="60"/>
      <c r="F19" s="60"/>
    </row>
    <row r="20" spans="2:6" ht="16.5" customHeight="1" x14ac:dyDescent="0.25">
      <c r="B20" s="60"/>
      <c r="C20" s="69" t="s">
        <v>218</v>
      </c>
      <c r="D20" s="67"/>
      <c r="E20" s="60" t="s">
        <v>219</v>
      </c>
      <c r="F20" s="60"/>
    </row>
    <row r="21" spans="2:6" ht="12.75" customHeight="1" x14ac:dyDescent="0.2"/>
    <row r="22" spans="2:6" ht="12.75" customHeight="1" x14ac:dyDescent="0.2"/>
    <row r="24" spans="2:6" ht="12.75" customHeight="1" x14ac:dyDescent="0.2"/>
    <row r="28" spans="2:6" ht="12.75" customHeight="1" x14ac:dyDescent="0.2">
      <c r="E28" s="73"/>
    </row>
  </sheetData>
  <mergeCells count="4">
    <mergeCell ref="B10:F10"/>
    <mergeCell ref="B9:F9"/>
    <mergeCell ref="B14:E14"/>
    <mergeCell ref="B8:F8"/>
  </mergeCells>
  <pageMargins left="1" right="1" top="1" bottom="1" header="0.3" footer="0.3"/>
  <pageSetup paperSize="9" scale="89" fitToHeight="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indexed="2"/>
    <pageSetUpPr fitToPage="1"/>
  </sheetPr>
  <dimension ref="A1:C44"/>
  <sheetViews>
    <sheetView workbookViewId="0"/>
  </sheetViews>
  <sheetFormatPr defaultRowHeight="12.75" x14ac:dyDescent="0.2"/>
  <cols>
    <col min="1" max="1" width="33" customWidth="1"/>
    <col min="2" max="2" width="17.140625" customWidth="1"/>
    <col min="3" max="3" width="38.28515625" customWidth="1"/>
  </cols>
  <sheetData>
    <row r="1" spans="1:3" ht="12.75" customHeight="1" x14ac:dyDescent="0.2">
      <c r="C1" s="51" t="s">
        <v>189</v>
      </c>
    </row>
    <row r="2" spans="1:3" ht="12.75" customHeight="1" x14ac:dyDescent="0.2">
      <c r="C2" s="51" t="s">
        <v>220</v>
      </c>
    </row>
    <row r="3" spans="1:3" ht="12.75" customHeight="1" x14ac:dyDescent="0.2">
      <c r="C3" s="51" t="s">
        <v>221</v>
      </c>
    </row>
    <row r="4" spans="1:3" ht="12.75" customHeight="1" x14ac:dyDescent="0.2">
      <c r="C4" s="51" t="s">
        <v>222</v>
      </c>
    </row>
    <row r="5" spans="1:3" ht="12.75" customHeight="1" x14ac:dyDescent="0.2">
      <c r="C5" s="51"/>
    </row>
    <row r="6" spans="1:3" ht="12.75" customHeight="1" x14ac:dyDescent="0.2">
      <c r="C6" s="51" t="s">
        <v>223</v>
      </c>
    </row>
    <row r="10" spans="1:3" ht="16.5" customHeight="1" x14ac:dyDescent="0.2">
      <c r="A10" s="133" t="s">
        <v>224</v>
      </c>
      <c r="B10" s="134"/>
      <c r="C10" s="134"/>
    </row>
    <row r="11" spans="1:3" ht="16.5" customHeight="1" x14ac:dyDescent="0.2">
      <c r="A11" s="135" t="str">
        <f>CONCATENATE("за ",данные!A1," месяц ",данные!B1)</f>
        <v>за февраль месяц  2026 года.</v>
      </c>
      <c r="B11" s="134"/>
      <c r="C11" s="134"/>
    </row>
    <row r="12" spans="1:3" ht="16.5" customHeight="1" x14ac:dyDescent="0.2">
      <c r="A12" s="135" t="s">
        <v>225</v>
      </c>
      <c r="B12" s="134"/>
      <c r="C12" s="134"/>
    </row>
    <row r="14" spans="1:3" ht="25.5" customHeight="1" x14ac:dyDescent="0.2">
      <c r="A14" s="53" t="s">
        <v>226</v>
      </c>
      <c r="B14" s="54" t="s">
        <v>227</v>
      </c>
      <c r="C14" s="53" t="s">
        <v>228</v>
      </c>
    </row>
    <row r="15" spans="1:3" ht="13.5" customHeight="1" x14ac:dyDescent="0.2">
      <c r="A15" s="74" t="s">
        <v>229</v>
      </c>
      <c r="B15" s="74"/>
      <c r="C15" s="74" t="s">
        <v>230</v>
      </c>
    </row>
    <row r="16" spans="1:3" ht="13.5" customHeight="1" x14ac:dyDescent="0.2">
      <c r="A16" s="14"/>
      <c r="B16" s="14"/>
      <c r="C16" s="14" t="s">
        <v>230</v>
      </c>
    </row>
    <row r="17" spans="1:3" ht="13.5" customHeight="1" x14ac:dyDescent="0.2">
      <c r="A17" s="14"/>
      <c r="B17" s="14"/>
      <c r="C17" s="14" t="s">
        <v>230</v>
      </c>
    </row>
    <row r="18" spans="1:3" ht="13.5" customHeight="1" x14ac:dyDescent="0.2">
      <c r="A18" s="14"/>
      <c r="B18" s="14"/>
      <c r="C18" s="14" t="s">
        <v>230</v>
      </c>
    </row>
    <row r="19" spans="1:3" ht="13.5" customHeight="1" x14ac:dyDescent="0.2">
      <c r="A19" s="14"/>
      <c r="B19" s="14"/>
      <c r="C19" s="14" t="s">
        <v>230</v>
      </c>
    </row>
    <row r="20" spans="1:3" ht="13.5" customHeight="1" x14ac:dyDescent="0.2">
      <c r="A20" s="10"/>
      <c r="B20" s="10"/>
      <c r="C20" s="10"/>
    </row>
    <row r="21" spans="1:3" ht="13.5" customHeight="1" x14ac:dyDescent="0.2">
      <c r="A21" s="74" t="s">
        <v>231</v>
      </c>
      <c r="B21" s="74"/>
      <c r="C21" s="74" t="s">
        <v>230</v>
      </c>
    </row>
    <row r="22" spans="1:3" ht="13.5" customHeight="1" x14ac:dyDescent="0.2">
      <c r="A22" s="14"/>
      <c r="B22" s="14"/>
      <c r="C22" s="14" t="s">
        <v>230</v>
      </c>
    </row>
    <row r="23" spans="1:3" ht="13.5" customHeight="1" x14ac:dyDescent="0.2">
      <c r="A23" s="14"/>
      <c r="B23" s="14"/>
      <c r="C23" s="14" t="s">
        <v>230</v>
      </c>
    </row>
    <row r="24" spans="1:3" ht="13.5" customHeight="1" x14ac:dyDescent="0.2">
      <c r="A24" s="14"/>
      <c r="B24" s="14"/>
      <c r="C24" s="14" t="s">
        <v>230</v>
      </c>
    </row>
    <row r="25" spans="1:3" ht="13.5" customHeight="1" x14ac:dyDescent="0.2">
      <c r="A25" s="14"/>
      <c r="B25" s="14"/>
      <c r="C25" s="14" t="s">
        <v>230</v>
      </c>
    </row>
    <row r="26" spans="1:3" ht="13.5" customHeight="1" x14ac:dyDescent="0.2">
      <c r="A26" s="10"/>
      <c r="B26" s="10"/>
      <c r="C26" s="10"/>
    </row>
    <row r="27" spans="1:3" ht="13.5" customHeight="1" x14ac:dyDescent="0.2">
      <c r="A27" s="74" t="s">
        <v>232</v>
      </c>
      <c r="B27" s="6"/>
      <c r="C27" s="74" t="s">
        <v>230</v>
      </c>
    </row>
    <row r="28" spans="1:3" ht="13.5" customHeight="1" x14ac:dyDescent="0.2">
      <c r="A28" s="14"/>
      <c r="C28" s="14" t="s">
        <v>230</v>
      </c>
    </row>
    <row r="29" spans="1:3" ht="13.5" customHeight="1" x14ac:dyDescent="0.2">
      <c r="A29" s="14"/>
      <c r="C29" s="14" t="s">
        <v>230</v>
      </c>
    </row>
    <row r="30" spans="1:3" ht="13.5" customHeight="1" x14ac:dyDescent="0.2">
      <c r="A30" s="14"/>
      <c r="C30" s="14" t="s">
        <v>230</v>
      </c>
    </row>
    <row r="31" spans="1:3" ht="13.5" customHeight="1" x14ac:dyDescent="0.2">
      <c r="A31" s="14"/>
      <c r="C31" s="14" t="s">
        <v>230</v>
      </c>
    </row>
    <row r="32" spans="1:3" ht="13.5" customHeight="1" x14ac:dyDescent="0.2">
      <c r="A32" s="10"/>
      <c r="B32" s="3"/>
      <c r="C32" s="10"/>
    </row>
    <row r="33" spans="1:3" ht="13.5" customHeight="1" x14ac:dyDescent="0.2">
      <c r="A33" s="74" t="s">
        <v>233</v>
      </c>
      <c r="B33" s="74"/>
      <c r="C33" s="74" t="s">
        <v>230</v>
      </c>
    </row>
    <row r="34" spans="1:3" ht="13.5" customHeight="1" x14ac:dyDescent="0.2">
      <c r="A34" s="14"/>
      <c r="B34" s="14"/>
      <c r="C34" s="14" t="s">
        <v>230</v>
      </c>
    </row>
    <row r="35" spans="1:3" ht="13.5" customHeight="1" x14ac:dyDescent="0.2">
      <c r="A35" s="14"/>
      <c r="B35" s="14"/>
      <c r="C35" s="14" t="s">
        <v>230</v>
      </c>
    </row>
    <row r="36" spans="1:3" ht="13.5" customHeight="1" x14ac:dyDescent="0.2">
      <c r="A36" s="14"/>
      <c r="B36" s="14"/>
      <c r="C36" s="14" t="s">
        <v>230</v>
      </c>
    </row>
    <row r="37" spans="1:3" ht="13.5" customHeight="1" x14ac:dyDescent="0.2">
      <c r="A37" s="14"/>
      <c r="B37" s="14"/>
      <c r="C37" s="14" t="s">
        <v>230</v>
      </c>
    </row>
    <row r="38" spans="1:3" ht="13.5" customHeight="1" x14ac:dyDescent="0.2">
      <c r="A38" s="10"/>
      <c r="B38" s="10"/>
      <c r="C38" s="10"/>
    </row>
    <row r="39" spans="1:3" ht="12.75" customHeight="1" x14ac:dyDescent="0.2"/>
    <row r="40" spans="1:3" ht="12.75" customHeight="1" x14ac:dyDescent="0.2"/>
    <row r="41" spans="1:3" ht="25.5" customHeight="1" x14ac:dyDescent="0.2">
      <c r="A41" s="75" t="s">
        <v>234</v>
      </c>
      <c r="B41" s="3"/>
      <c r="C41" t="s">
        <v>207</v>
      </c>
    </row>
    <row r="42" spans="1:3" ht="12.75" customHeight="1" x14ac:dyDescent="0.2"/>
    <row r="43" spans="1:3" ht="12.75" customHeight="1" x14ac:dyDescent="0.2"/>
    <row r="44" spans="1:3" ht="12.75" customHeight="1" x14ac:dyDescent="0.2"/>
  </sheetData>
  <mergeCells count="3">
    <mergeCell ref="A10:C10"/>
    <mergeCell ref="A11:C11"/>
    <mergeCell ref="A12:C12"/>
  </mergeCells>
  <pageMargins left="0.70078740157480324" right="0.70078740157480324" top="0.75196850393700787" bottom="0.75196850393700787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indexed="5"/>
  </sheetPr>
  <dimension ref="A1:BL18"/>
  <sheetViews>
    <sheetView workbookViewId="0">
      <selection activeCell="B20" sqref="B20"/>
    </sheetView>
  </sheetViews>
  <sheetFormatPr defaultColWidth="13" defaultRowHeight="12.75" x14ac:dyDescent="0.2"/>
  <cols>
    <col min="1" max="1" width="41" style="76" customWidth="1"/>
    <col min="2" max="2" width="46.85546875" style="76" customWidth="1"/>
    <col min="3" max="64" width="9" style="76" customWidth="1"/>
  </cols>
  <sheetData>
    <row r="1" spans="1:6" ht="62.25" customHeight="1" x14ac:dyDescent="0.2">
      <c r="A1" s="77" t="s">
        <v>114</v>
      </c>
      <c r="B1" s="77" t="s">
        <v>235</v>
      </c>
    </row>
    <row r="2" spans="1:6" x14ac:dyDescent="0.2">
      <c r="D2" s="76" t="s">
        <v>236</v>
      </c>
      <c r="F2" s="76" t="s">
        <v>113</v>
      </c>
    </row>
    <row r="3" spans="1:6" ht="12.75" customHeight="1" x14ac:dyDescent="0.2">
      <c r="D3" s="76" t="s">
        <v>149</v>
      </c>
      <c r="F3" s="76" t="s">
        <v>114</v>
      </c>
    </row>
    <row r="4" spans="1:6" ht="12.75" customHeight="1" x14ac:dyDescent="0.2">
      <c r="F4" s="76" t="s">
        <v>115</v>
      </c>
    </row>
    <row r="5" spans="1:6" ht="12.75" customHeight="1" x14ac:dyDescent="0.2">
      <c r="F5" s="76" t="s">
        <v>116</v>
      </c>
    </row>
    <row r="6" spans="1:6" ht="12.75" customHeight="1" x14ac:dyDescent="0.2">
      <c r="F6" s="76" t="s">
        <v>117</v>
      </c>
    </row>
    <row r="7" spans="1:6" ht="12.75" customHeight="1" x14ac:dyDescent="0.2">
      <c r="F7" s="76" t="s">
        <v>118</v>
      </c>
    </row>
    <row r="8" spans="1:6" ht="12.75" customHeight="1" x14ac:dyDescent="0.2">
      <c r="F8" s="76" t="s">
        <v>119</v>
      </c>
    </row>
    <row r="9" spans="1:6" ht="12.75" customHeight="1" x14ac:dyDescent="0.2">
      <c r="F9" s="76" t="s">
        <v>120</v>
      </c>
    </row>
    <row r="10" spans="1:6" ht="12.75" customHeight="1" x14ac:dyDescent="0.2">
      <c r="F10" s="76" t="s">
        <v>121</v>
      </c>
    </row>
    <row r="11" spans="1:6" ht="12.75" customHeight="1" x14ac:dyDescent="0.2">
      <c r="F11" s="76" t="s">
        <v>122</v>
      </c>
    </row>
    <row r="12" spans="1:6" ht="12.75" customHeight="1" x14ac:dyDescent="0.2">
      <c r="F12" s="76" t="s">
        <v>123</v>
      </c>
    </row>
    <row r="13" spans="1:6" ht="12.75" customHeight="1" x14ac:dyDescent="0.2">
      <c r="F13" s="76" t="s">
        <v>124</v>
      </c>
    </row>
    <row r="14" spans="1:6" ht="12.75" customHeight="1" x14ac:dyDescent="0.2"/>
    <row r="15" spans="1:6" ht="12.75" customHeight="1" x14ac:dyDescent="0.2"/>
    <row r="16" spans="1:6" ht="12.75" customHeight="1" x14ac:dyDescent="0.2"/>
    <row r="17" ht="12.75" customHeight="1" x14ac:dyDescent="0.2"/>
    <row r="18" ht="12.75" customHeight="1" x14ac:dyDescent="0.2"/>
  </sheetData>
  <pageMargins left="0.74791666666666701" right="0.74791666666666701" top="0.98402777777777795" bottom="0.9840277777777779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40</vt:i4>
      </vt:variant>
    </vt:vector>
  </HeadingPairs>
  <TitlesOfParts>
    <vt:vector size="65" baseType="lpstr">
      <vt:lpstr>Main</vt:lpstr>
      <vt:lpstr>RSCH</vt:lpstr>
      <vt:lpstr>NOCH</vt:lpstr>
      <vt:lpstr>Горбуненко</vt:lpstr>
      <vt:lpstr>Дулов</vt:lpstr>
      <vt:lpstr>Карпенко</vt:lpstr>
      <vt:lpstr>Климов</vt:lpstr>
      <vt:lpstr>Колодный</vt:lpstr>
      <vt:lpstr>Котов</vt:lpstr>
      <vt:lpstr>Кривоконев</vt:lpstr>
      <vt:lpstr>Лахин В</vt:lpstr>
      <vt:lpstr>Лахин С</vt:lpstr>
      <vt:lpstr>Миньков</vt:lpstr>
      <vt:lpstr>Никонов</vt:lpstr>
      <vt:lpstr>Переверзев</vt:lpstr>
      <vt:lpstr>Рудиков</vt:lpstr>
      <vt:lpstr>Табалин</vt:lpstr>
      <vt:lpstr>Толстиков</vt:lpstr>
      <vt:lpstr>Федюшкин</vt:lpstr>
      <vt:lpstr>Надбавки Риф</vt:lpstr>
      <vt:lpstr>Надбавки Стимул</vt:lpstr>
      <vt:lpstr>Доплата Риф</vt:lpstr>
      <vt:lpstr>Доплата Стимул</vt:lpstr>
      <vt:lpstr>Отчет</vt:lpstr>
      <vt:lpstr>данные</vt:lpstr>
      <vt:lpstr>NOCH!Print_Area</vt:lpstr>
      <vt:lpstr>RSCH!Print_Area</vt:lpstr>
      <vt:lpstr>Дулов!Print_Area_0</vt:lpstr>
      <vt:lpstr>Горбуненко!Print_Titles</vt:lpstr>
      <vt:lpstr>Дулов!Print_Titles</vt:lpstr>
      <vt:lpstr>Карпенко!Print_Titles</vt:lpstr>
      <vt:lpstr>Климов!Print_Titles</vt:lpstr>
      <vt:lpstr>Колодный!Print_Titles</vt:lpstr>
      <vt:lpstr>Котов!Print_Titles</vt:lpstr>
      <vt:lpstr>Кривоконев!Print_Titles</vt:lpstr>
      <vt:lpstr>'Лахин В'!Print_Titles</vt:lpstr>
      <vt:lpstr>'Лахин С'!Print_Titles</vt:lpstr>
      <vt:lpstr>Миньков!Print_Titles</vt:lpstr>
      <vt:lpstr>Никонов!Print_Titles</vt:lpstr>
      <vt:lpstr>Переверзев!Print_Titles</vt:lpstr>
      <vt:lpstr>Рудиков!Print_Titles</vt:lpstr>
      <vt:lpstr>Табалин!Print_Titles</vt:lpstr>
      <vt:lpstr>Толстиков!Print_Titles</vt:lpstr>
      <vt:lpstr>Федюшкин!Print_Titles</vt:lpstr>
      <vt:lpstr>Main!Область_печати</vt:lpstr>
      <vt:lpstr>Горбуненко!Область_печати</vt:lpstr>
      <vt:lpstr>'Доплата Риф'!Область_печати</vt:lpstr>
      <vt:lpstr>'Доплата Стимул'!Область_печати</vt:lpstr>
      <vt:lpstr>Дулов!Область_печати</vt:lpstr>
      <vt:lpstr>Карпенко!Область_печати</vt:lpstr>
      <vt:lpstr>Климов!Область_печати</vt:lpstr>
      <vt:lpstr>Колодный!Область_печати</vt:lpstr>
      <vt:lpstr>Котов!Область_печати</vt:lpstr>
      <vt:lpstr>Кривоконев!Область_печати</vt:lpstr>
      <vt:lpstr>'Лахин В'!Область_печати</vt:lpstr>
      <vt:lpstr>'Лахин С'!Область_печати</vt:lpstr>
      <vt:lpstr>Миньков!Область_печати</vt:lpstr>
      <vt:lpstr>'Надбавки Риф'!Область_печати</vt:lpstr>
      <vt:lpstr>'Надбавки Стимул'!Область_печати</vt:lpstr>
      <vt:lpstr>Никонов!Область_печати</vt:lpstr>
      <vt:lpstr>Переверзев!Область_печати</vt:lpstr>
      <vt:lpstr>Рудиков!Область_печати</vt:lpstr>
      <vt:lpstr>Табалин!Область_печати</vt:lpstr>
      <vt:lpstr>Толстиков!Область_печати</vt:lpstr>
      <vt:lpstr>Федюшкин!Область_печати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hmv</cp:lastModifiedBy>
  <cp:revision>2551</cp:revision>
  <dcterms:created xsi:type="dcterms:W3CDTF">1996-10-09T02:32:33Z</dcterms:created>
  <dcterms:modified xsi:type="dcterms:W3CDTF">2026-02-07T21:58:50Z</dcterms:modified>
  <dc:language>ru-RU</dc:language>
</cp:coreProperties>
</file>